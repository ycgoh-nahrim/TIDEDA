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Hydrology\Excel\TIDEDA\"/>
    </mc:Choice>
  </mc:AlternateContent>
  <bookViews>
    <workbookView xWindow="480" yWindow="135" windowWidth="18195" windowHeight="11760" firstSheet="3" activeTab="7"/>
  </bookViews>
  <sheets>
    <sheet name="Instruction" sheetId="10" r:id="rId1"/>
    <sheet name="movmax" sheetId="8" r:id="rId2"/>
    <sheet name="movmax_stn" sheetId="11" r:id="rId3"/>
    <sheet name="movmax_period" sheetId="19" r:id="rId4"/>
    <sheet name="exportCSV" sheetId="9" r:id="rId5"/>
    <sheet name="exportcalendar" sheetId="22" r:id="rId6"/>
    <sheet name="RAINFALL_PM_ori" sheetId="6" r:id="rId7"/>
    <sheet name="Selected_stns" sheetId="20" r:id="rId8"/>
  </sheets>
  <definedNames>
    <definedName name="_xlnm._FilterDatabase" localSheetId="6" hidden="1">RAINFALL_PM_ori!$D$1:$E$1286</definedName>
    <definedName name="CCF_DB" localSheetId="5">#REF!</definedName>
    <definedName name="CCF_DB">#REF!</definedName>
    <definedName name="_xlnm.Database">RAINFALL_PM_ori!$A$1:$S$1286</definedName>
    <definedName name="Perak">RAINFALL_PM_ori!$D$2:$D$1286</definedName>
    <definedName name="_xlnm.Print_Titles" localSheetId="6">RAINFALL_PM_ori!$1:$1</definedName>
  </definedNames>
  <calcPr calcId="162913"/>
</workbook>
</file>

<file path=xl/calcChain.xml><?xml version="1.0" encoding="utf-8"?>
<calcChain xmlns="http://schemas.openxmlformats.org/spreadsheetml/2006/main">
  <c r="C84" i="22" l="1"/>
  <c r="I87" i="11" l="1"/>
  <c r="H87" i="11"/>
  <c r="B84" i="11" l="1"/>
  <c r="C84" i="11"/>
  <c r="B84" i="8" l="1"/>
  <c r="M67" i="9" l="1"/>
</calcChain>
</file>

<file path=xl/sharedStrings.xml><?xml version="1.0" encoding="utf-8"?>
<sst xmlns="http://schemas.openxmlformats.org/spreadsheetml/2006/main" count="17930" uniqueCount="2679">
  <si>
    <t>FUNCTION</t>
  </si>
  <si>
    <t>STATE</t>
  </si>
  <si>
    <t>DISTRICT</t>
  </si>
  <si>
    <t>RIVER</t>
  </si>
  <si>
    <t>ISO</t>
  </si>
  <si>
    <t>ACTIVE</t>
  </si>
  <si>
    <t>MANUAL</t>
  </si>
  <si>
    <t>TELEMETRY</t>
  </si>
  <si>
    <t>LOGGER</t>
  </si>
  <si>
    <t>OWNER</t>
  </si>
  <si>
    <t>ELEV</t>
  </si>
  <si>
    <t>Ldg. Batu Untong</t>
  </si>
  <si>
    <t>RF</t>
  </si>
  <si>
    <t>Selangor</t>
  </si>
  <si>
    <t>Kuala Langat</t>
  </si>
  <si>
    <t>Sg. Gappin</t>
  </si>
  <si>
    <t>Sepang</t>
  </si>
  <si>
    <t>04/36</t>
  </si>
  <si>
    <t>TRUE</t>
  </si>
  <si>
    <t>FALSE</t>
  </si>
  <si>
    <t>Ldg.</t>
  </si>
  <si>
    <t>Ldg. Sg. Gappin</t>
  </si>
  <si>
    <t>11/53</t>
  </si>
  <si>
    <t>01/79</t>
  </si>
  <si>
    <t>Tadika Kemas Kg. Tg. Sepat</t>
  </si>
  <si>
    <t>Sg. tnjg sepat</t>
  </si>
  <si>
    <t>Langat</t>
  </si>
  <si>
    <t>Ldg. Telok Merbau</t>
  </si>
  <si>
    <t>Sg. Pelek</t>
  </si>
  <si>
    <t>05/12</t>
  </si>
  <si>
    <t>Pintu Air Tanjung Rhu</t>
  </si>
  <si>
    <t>Agrotek Sepang</t>
  </si>
  <si>
    <t>Sg. Sepang</t>
  </si>
  <si>
    <t>Ldg. Sepang</t>
  </si>
  <si>
    <t>04/23</t>
  </si>
  <si>
    <t>Sg. Tali Air</t>
  </si>
  <si>
    <t>Ldg. Bute</t>
  </si>
  <si>
    <t>11/25</t>
  </si>
  <si>
    <t>Kolam Takongan Sepang</t>
  </si>
  <si>
    <t>01/51</t>
  </si>
  <si>
    <t>07/60</t>
  </si>
  <si>
    <t>JPS</t>
  </si>
  <si>
    <t>Kg. Salak Tinggi</t>
  </si>
  <si>
    <t>Sg. Langat</t>
  </si>
  <si>
    <t>Ldg. Jugra</t>
  </si>
  <si>
    <t>Ldg. Kelanang Bahru</t>
  </si>
  <si>
    <t>01/14</t>
  </si>
  <si>
    <t>Pejabat JPS Sg. Manggis</t>
  </si>
  <si>
    <t>04/35</t>
  </si>
  <si>
    <t>Ldg. Brooklands</t>
  </si>
  <si>
    <t>Dengkil</t>
  </si>
  <si>
    <t>Hulu Langat</t>
  </si>
  <si>
    <t>Ldg. Galloway</t>
  </si>
  <si>
    <t>Sg.Labu</t>
  </si>
  <si>
    <t>10/24</t>
  </si>
  <si>
    <t>08/94</t>
  </si>
  <si>
    <t>KLIA</t>
  </si>
  <si>
    <t>Sg. Labu</t>
  </si>
  <si>
    <t>RTB Bukit Changgang</t>
  </si>
  <si>
    <t>Bukit Changgang</t>
  </si>
  <si>
    <t>Paya Indah</t>
  </si>
  <si>
    <t>12/05</t>
  </si>
  <si>
    <t>37</t>
  </si>
  <si>
    <t>JPS/JMG</t>
  </si>
  <si>
    <t>Kg Jenderam Hilir</t>
  </si>
  <si>
    <t>Sg. Perembang</t>
  </si>
  <si>
    <t>Sek. Men. Bandar Tasik Kesuma</t>
  </si>
  <si>
    <t>Ibu Bekalan Kg. Jln. Enam Kaki</t>
  </si>
  <si>
    <t>04/63</t>
  </si>
  <si>
    <t>Klang</t>
  </si>
  <si>
    <t>Sg.Klang</t>
  </si>
  <si>
    <t>10/73</t>
  </si>
  <si>
    <t>Ldg. West, Pulau Carey</t>
  </si>
  <si>
    <t>Sg.Langat</t>
  </si>
  <si>
    <t>06/26</t>
  </si>
  <si>
    <t>JPS Pulau Lumut</t>
  </si>
  <si>
    <t>01/44</t>
  </si>
  <si>
    <t>Kg. Sg. Kembong</t>
  </si>
  <si>
    <t>Sg. Klang</t>
  </si>
  <si>
    <t>Ldg. Golden Hope</t>
  </si>
  <si>
    <t>01/09</t>
  </si>
  <si>
    <t>Ldg. Bkt. Cheeding</t>
  </si>
  <si>
    <t>05/44</t>
  </si>
  <si>
    <t>Sek. Men. Jalan Kebun</t>
  </si>
  <si>
    <t>Air Itam Puchong</t>
  </si>
  <si>
    <t>Petaling</t>
  </si>
  <si>
    <t>-</t>
  </si>
  <si>
    <t>Puncak Niaga Putrajaya</t>
  </si>
  <si>
    <t>Ldg. Bkt. Hitam</t>
  </si>
  <si>
    <t>02/95</t>
  </si>
  <si>
    <t>RTM Kajang</t>
  </si>
  <si>
    <t>04/75</t>
  </si>
  <si>
    <t>Kolam Takungan Sg. Merab</t>
  </si>
  <si>
    <t>Sg. Merab</t>
  </si>
  <si>
    <t>Stor JPS Hulu Langat</t>
  </si>
  <si>
    <t>Hulu  Langat</t>
  </si>
  <si>
    <t>Hospital Kajang</t>
  </si>
  <si>
    <t>02/75</t>
  </si>
  <si>
    <t>Ldg. West Country Bhg. Barat</t>
  </si>
  <si>
    <t>01/24</t>
  </si>
  <si>
    <t>03/95</t>
  </si>
  <si>
    <t>Ldg. Sedgeley</t>
  </si>
  <si>
    <t>01/28</t>
  </si>
  <si>
    <t>Kajang</t>
  </si>
  <si>
    <t>Sg. Rinching</t>
  </si>
  <si>
    <t>Ldg. Sg. Rinching</t>
  </si>
  <si>
    <t>06/29</t>
  </si>
  <si>
    <t>Tmn Ehsan Kg. Melayu Subang</t>
  </si>
  <si>
    <t>Sg. Damansara</t>
  </si>
  <si>
    <t>Rumah Pam Rantau Panjang</t>
  </si>
  <si>
    <t>Jln. Sg. Kapar Besar (Jln Benteng)</t>
  </si>
  <si>
    <t>Sg. Kapar</t>
  </si>
  <si>
    <t>Selat Muara</t>
  </si>
  <si>
    <t>Bandar Klang</t>
  </si>
  <si>
    <t>Ldg. Midlands</t>
  </si>
  <si>
    <t>01/08</t>
  </si>
  <si>
    <t>01/86</t>
  </si>
  <si>
    <t>Ldg. Highlands</t>
  </si>
  <si>
    <t>2/03</t>
  </si>
  <si>
    <t>Pejabat JPS Klang</t>
  </si>
  <si>
    <t>09/43</t>
  </si>
  <si>
    <t>Ldg. Bkt. Rajah Bahagian Barat</t>
  </si>
  <si>
    <t>01/03</t>
  </si>
  <si>
    <t>Pusat Balai Bomba</t>
  </si>
  <si>
    <t>01/27</t>
  </si>
  <si>
    <t>12/73</t>
  </si>
  <si>
    <t>UiTM Shah Alam</t>
  </si>
  <si>
    <t>08/01</t>
  </si>
  <si>
    <t>Sek.Men. Raja Lumu</t>
  </si>
  <si>
    <t>Kg. Sg. Udang Klang</t>
  </si>
  <si>
    <t>Bt.4 Kg. Jawa ( Sg. Kandis )</t>
  </si>
  <si>
    <t>Sg. Kandis</t>
  </si>
  <si>
    <t>Puchong Drop (W.P)</t>
  </si>
  <si>
    <t>07/82</t>
  </si>
  <si>
    <t>Puchong Drop</t>
  </si>
  <si>
    <t>Ldg. Sg. Way</t>
  </si>
  <si>
    <t>Sg. Way</t>
  </si>
  <si>
    <t>06/74</t>
  </si>
  <si>
    <t>Ldg. Bkt. Kemuning</t>
  </si>
  <si>
    <t>06/47</t>
  </si>
  <si>
    <t>Ldg. Sg. Renggam</t>
  </si>
  <si>
    <t>Sg. Renggam</t>
  </si>
  <si>
    <t>01/13</t>
  </si>
  <si>
    <t>09/77</t>
  </si>
  <si>
    <t>Ldg. Haron</t>
  </si>
  <si>
    <t>01/12</t>
  </si>
  <si>
    <t>02/85</t>
  </si>
  <si>
    <t>TTDI Shah Alam</t>
  </si>
  <si>
    <t>Taman Sri Muda 1</t>
  </si>
  <si>
    <t>Tugu Keris Klang</t>
  </si>
  <si>
    <t>Sg. Rasau</t>
  </si>
  <si>
    <t>Batu 3</t>
  </si>
  <si>
    <t>01/76</t>
  </si>
  <si>
    <t>Ldg. Bkt. Jalil</t>
  </si>
  <si>
    <t>01/11</t>
  </si>
  <si>
    <t>01/83</t>
  </si>
  <si>
    <t>Ldg. Kinrara</t>
  </si>
  <si>
    <t>Wilayah Persekutuan</t>
  </si>
  <si>
    <t>04/84</t>
  </si>
  <si>
    <t>Jalan 222</t>
  </si>
  <si>
    <t>Sg. Penchala</t>
  </si>
  <si>
    <t>Kg. Ghandi</t>
  </si>
  <si>
    <t>Kolam Takongan Kg. Cheras</t>
  </si>
  <si>
    <t>07/48</t>
  </si>
  <si>
    <t>JKR</t>
  </si>
  <si>
    <t>Sg. Raya Bt.9 Hulu Langat</t>
  </si>
  <si>
    <t>Sg. Serai Bt.12 Hulu Langat</t>
  </si>
  <si>
    <t>Seri Kembangan</t>
  </si>
  <si>
    <t>Sg. Kuyuh</t>
  </si>
  <si>
    <t>Sungai Balak Hulu Langat</t>
  </si>
  <si>
    <t>Sg. Balak</t>
  </si>
  <si>
    <t>Empangan Semenyih</t>
  </si>
  <si>
    <t>Sg. Semenyih</t>
  </si>
  <si>
    <t>08/90</t>
  </si>
  <si>
    <t>Kg. Pasir</t>
  </si>
  <si>
    <t>Ldg. Dominion</t>
  </si>
  <si>
    <t>Sek. Men.(P) Sri Aman</t>
  </si>
  <si>
    <t>30/05/1995</t>
  </si>
  <si>
    <t>Sek. Men. Sri Permata</t>
  </si>
  <si>
    <t>2/2/1994</t>
  </si>
  <si>
    <t>Kompleks Sukan FAS</t>
  </si>
  <si>
    <t>5/3/1995</t>
  </si>
  <si>
    <t>Balai Polis Sea Park</t>
  </si>
  <si>
    <t>13/01/1996</t>
  </si>
  <si>
    <t>Sek. Men. Sea Park</t>
  </si>
  <si>
    <t>Tmn. Bkt. Mayang Emas</t>
  </si>
  <si>
    <t>Sek. Ren. Yuk Chai</t>
  </si>
  <si>
    <t>8/6/1995</t>
  </si>
  <si>
    <t>Sek. Ren. Dsara Utama</t>
  </si>
  <si>
    <t>Wilayah Persekut</t>
  </si>
  <si>
    <t>uan</t>
  </si>
  <si>
    <t>12/4/1995</t>
  </si>
  <si>
    <t>Tropicana Golf Resort</t>
  </si>
  <si>
    <t>23/02/1994</t>
  </si>
  <si>
    <t>Balai Polis TTDI</t>
  </si>
  <si>
    <t>26/01/1996</t>
  </si>
  <si>
    <t>Sungai Penchala Upstream</t>
  </si>
  <si>
    <t>9/7/1995</t>
  </si>
  <si>
    <t>Masjid Jamek Sg. Penchala</t>
  </si>
  <si>
    <t>Surau AL-Syakirin</t>
  </si>
  <si>
    <t>Sek.Men. Dsara Jaya</t>
  </si>
  <si>
    <t>25/01/1996</t>
  </si>
  <si>
    <t>Sek.Ren. Sri Damansara 3</t>
  </si>
  <si>
    <t>17/01/1996</t>
  </si>
  <si>
    <t>Bukit Kiara Golf Resort</t>
  </si>
  <si>
    <t>4/1/1996</t>
  </si>
  <si>
    <t>Sg. Kayu Ara</t>
  </si>
  <si>
    <t>Dec-02</t>
  </si>
  <si>
    <t>Ldg. Bukit Kerayong</t>
  </si>
  <si>
    <t>Kuala Selangor</t>
  </si>
  <si>
    <t>Sg. Buluh</t>
  </si>
  <si>
    <t>Sg.Buluh</t>
  </si>
  <si>
    <t>04/17</t>
  </si>
  <si>
    <t>Ldg. Sg. Kapar</t>
  </si>
  <si>
    <t>03/02</t>
  </si>
  <si>
    <t>Setia Alam</t>
  </si>
  <si>
    <t>Ldg. Harpendent</t>
  </si>
  <si>
    <t>Epm. Tasik Subang Meru</t>
  </si>
  <si>
    <t>Lapangan Terbang Subang</t>
  </si>
  <si>
    <t>10/70</t>
  </si>
  <si>
    <t>30</t>
  </si>
  <si>
    <t>PKM</t>
  </si>
  <si>
    <t>Ldg. Elmina A</t>
  </si>
  <si>
    <t>Sg.Buloh</t>
  </si>
  <si>
    <t>Sg.Selangor</t>
  </si>
  <si>
    <t>05/26</t>
  </si>
  <si>
    <t>Pusat Penyelidikan Getah Sg.Buloh</t>
  </si>
  <si>
    <t>Sg. Buloh</t>
  </si>
  <si>
    <t>08/42</t>
  </si>
  <si>
    <t>Paya Jaras</t>
  </si>
  <si>
    <t>TTDI Jaya Fasa 2</t>
  </si>
  <si>
    <t>Kg. Melayu Subang</t>
  </si>
  <si>
    <t>Kota Damansara</t>
  </si>
  <si>
    <t>Taman Mayang</t>
  </si>
  <si>
    <t>Ibu Pejabat Kajicuaca Malaysia</t>
  </si>
  <si>
    <t>01/74</t>
  </si>
  <si>
    <t>Empangan Ampang (Ab)</t>
  </si>
  <si>
    <t>08/70</t>
  </si>
  <si>
    <t>Bukit Antarabangsa</t>
  </si>
  <si>
    <t>Pemasokan Ampang</t>
  </si>
  <si>
    <t>06/10</t>
  </si>
  <si>
    <t>Stn. Jenaletrik Lln. Ponsoon</t>
  </si>
  <si>
    <t>01/54</t>
  </si>
  <si>
    <t>Lln.</t>
  </si>
  <si>
    <t>Sek.Keb.Kg.Sg. Lui</t>
  </si>
  <si>
    <t>Sg. Lui</t>
  </si>
  <si>
    <t>05/70</t>
  </si>
  <si>
    <t>Kg. Sg. Lui</t>
  </si>
  <si>
    <t>Sg. Gabai di Kg. Lui</t>
  </si>
  <si>
    <t>08/08</t>
  </si>
  <si>
    <t>Batu 14, Hulu Langat(Balai Polis)</t>
  </si>
  <si>
    <t>Sawah Sg. Lui</t>
  </si>
  <si>
    <t>Lalang Sg. Lui</t>
  </si>
  <si>
    <t>Bkt. Lawing Sg. Lui</t>
  </si>
  <si>
    <t>03/89</t>
  </si>
  <si>
    <t>Bt.30, Jalan Genting Peres</t>
  </si>
  <si>
    <t>Sg.Semenyih</t>
  </si>
  <si>
    <t>01/90</t>
  </si>
  <si>
    <t>Taman Templer</t>
  </si>
  <si>
    <t>Gombak</t>
  </si>
  <si>
    <t>Sg.Kanching</t>
  </si>
  <si>
    <t>Sg.Selgor</t>
  </si>
  <si>
    <t>Ldg. Braunston</t>
  </si>
  <si>
    <t>01/10</t>
  </si>
  <si>
    <t>Ldg. Bkt. Cherakah</t>
  </si>
  <si>
    <t>07/12</t>
  </si>
  <si>
    <t>Ldg. Tuan Mee</t>
  </si>
  <si>
    <t>01/18</t>
  </si>
  <si>
    <t>Ldg. Bkt. Ijok</t>
  </si>
  <si>
    <t>Sri Aman</t>
  </si>
  <si>
    <t>Bandar Tasik Puteri</t>
  </si>
  <si>
    <t>Sg.Kuang</t>
  </si>
  <si>
    <t>Rumah JKR Paya Jaras di Sg.Buluh</t>
  </si>
  <si>
    <t>07/71</t>
  </si>
  <si>
    <t>Ldg. Elmina, Bhg. 'C'</t>
  </si>
  <si>
    <t>Hulu Selangor</t>
  </si>
  <si>
    <t>Pusat Mengawal Kusta Negara</t>
  </si>
  <si>
    <t>11/27</t>
  </si>
  <si>
    <t>07/78</t>
  </si>
  <si>
    <t>Rs.</t>
  </si>
  <si>
    <t>Kg. Setia Kuang</t>
  </si>
  <si>
    <t>Sg. Kuang</t>
  </si>
  <si>
    <t>Kg. Melayu Sg. Buloh</t>
  </si>
  <si>
    <t>Kg. Merbau Sempak</t>
  </si>
  <si>
    <t>Buloh</t>
  </si>
  <si>
    <t>Pph, Kepong (Semaian)</t>
  </si>
  <si>
    <t>07/73</t>
  </si>
  <si>
    <t>Ldg. Edinburgh</t>
  </si>
  <si>
    <t>12/72</t>
  </si>
  <si>
    <t>Pph, Kepong</t>
  </si>
  <si>
    <t>09/71</t>
  </si>
  <si>
    <t>Jh.</t>
  </si>
  <si>
    <t>Ldg. Batu Caves</t>
  </si>
  <si>
    <t>06/76</t>
  </si>
  <si>
    <t>Jabatan Orang Asli, Ulu Gombak</t>
  </si>
  <si>
    <t>Sg. Gombak</t>
  </si>
  <si>
    <t>08/21</t>
  </si>
  <si>
    <t>Joa.</t>
  </si>
  <si>
    <t>Ldg. Wardieburn</t>
  </si>
  <si>
    <t>01/19</t>
  </si>
  <si>
    <t>Empangan Genting Klang</t>
  </si>
  <si>
    <t>01/32</t>
  </si>
  <si>
    <t>11/75</t>
  </si>
  <si>
    <t>TNB Pansun</t>
  </si>
  <si>
    <t>Ldg. Bkt. Belimbing</t>
  </si>
  <si>
    <t>Sg. Selangor</t>
  </si>
  <si>
    <t>07/20</t>
  </si>
  <si>
    <t>Ldg. Telok Piah</t>
  </si>
  <si>
    <t>02/14</t>
  </si>
  <si>
    <t>07/68</t>
  </si>
  <si>
    <t>Teluk Penyamun</t>
  </si>
  <si>
    <t>Ldg. St. Andrew</t>
  </si>
  <si>
    <t>05/42</t>
  </si>
  <si>
    <t>Ldg. Bkt. Talang, Bhg. Kg. Baru</t>
  </si>
  <si>
    <t>Ldg. Kuala Selangor</t>
  </si>
  <si>
    <t>Kuala Badong</t>
  </si>
  <si>
    <t>Ldg. Rajaghiri</t>
  </si>
  <si>
    <t>06/42</t>
  </si>
  <si>
    <t>08/71</t>
  </si>
  <si>
    <t>Ldg. Sg. Buloh</t>
  </si>
  <si>
    <t>Parit Mahang</t>
  </si>
  <si>
    <t>Rumah Pam JPS Jaya Setia</t>
  </si>
  <si>
    <t>Ldg. Strathmore</t>
  </si>
  <si>
    <t>08/91</t>
  </si>
  <si>
    <t>Ldg. Tennamaram</t>
  </si>
  <si>
    <t>10/29</t>
  </si>
  <si>
    <t>07/79</t>
  </si>
  <si>
    <t>Batu Arang</t>
  </si>
  <si>
    <t>Ldg. Ulu Yam</t>
  </si>
  <si>
    <t>02/47</t>
  </si>
  <si>
    <t>Ldg. Serendah</t>
  </si>
  <si>
    <t>Sg. Chong</t>
  </si>
  <si>
    <t>01/15</t>
  </si>
  <si>
    <t>07/93</t>
  </si>
  <si>
    <t>Stor JBA</t>
  </si>
  <si>
    <t>Ldg. Waterfall</t>
  </si>
  <si>
    <t>01/67</t>
  </si>
  <si>
    <t>Ldg. Kundang</t>
  </si>
  <si>
    <t>07/13</t>
  </si>
  <si>
    <t>Taman Bukit Rawang</t>
  </si>
  <si>
    <t>Sg. Chul</t>
  </si>
  <si>
    <t>Country Homes</t>
  </si>
  <si>
    <t>Sg. Rawang</t>
  </si>
  <si>
    <t>Taman Tun Teja</t>
  </si>
  <si>
    <t>Taman Garing Utama</t>
  </si>
  <si>
    <t>Kg. Sungai Buaya</t>
  </si>
  <si>
    <t>Sg. Buaya</t>
  </si>
  <si>
    <t>Taman Desa Kundang</t>
  </si>
  <si>
    <t>Sg. Kundang</t>
  </si>
  <si>
    <t>Ldg. Sg. Gapi</t>
  </si>
  <si>
    <t>Sg. Serendah</t>
  </si>
  <si>
    <t>Serendah</t>
  </si>
  <si>
    <t>Km. 21 (JPS) Ulu Gombak (Ab)</t>
  </si>
  <si>
    <t>Km. 25.4 Ulu Gombak, JPS</t>
  </si>
  <si>
    <t>11/03</t>
  </si>
  <si>
    <t>10/60</t>
  </si>
  <si>
    <t>Sg. Tengi</t>
  </si>
  <si>
    <t>Bernam</t>
  </si>
  <si>
    <t>01/88</t>
  </si>
  <si>
    <t>Parit 1, Sg. Burong</t>
  </si>
  <si>
    <t>Stor JPS Tg.Karang</t>
  </si>
  <si>
    <t>Sg.Sel</t>
  </si>
  <si>
    <t>01/41</t>
  </si>
  <si>
    <t>Ibu Bekalan Sg. Tengi</t>
  </si>
  <si>
    <t>bernam</t>
  </si>
  <si>
    <t>01/63</t>
  </si>
  <si>
    <t>Ldg. Raja Musa</t>
  </si>
  <si>
    <t>Ldg. Sg. Tinggi, Bhg. Mary</t>
  </si>
  <si>
    <t>Sg. Tinggi</t>
  </si>
  <si>
    <t>Ldg. Hopeful</t>
  </si>
  <si>
    <t>Pengorekan Bijih Berjuntai Bhd.</t>
  </si>
  <si>
    <t>12/93</t>
  </si>
  <si>
    <t>Rantau Panjang</t>
  </si>
  <si>
    <t>Kg. Timah</t>
  </si>
  <si>
    <t>Ulu Yam</t>
  </si>
  <si>
    <t>Sg. Liam</t>
  </si>
  <si>
    <t>Kg. Kalong Tengah</t>
  </si>
  <si>
    <t>08/78</t>
  </si>
  <si>
    <t>Ldg. Batang Kali</t>
  </si>
  <si>
    <t>04/94</t>
  </si>
  <si>
    <t>Ldg. Rasa</t>
  </si>
  <si>
    <t>Batang Kali</t>
  </si>
  <si>
    <t>Sg. Batang Kali</t>
  </si>
  <si>
    <t>Taman Desa Kelisa</t>
  </si>
  <si>
    <t>Fdc. Sekinchan</t>
  </si>
  <si>
    <t>Parit 10, Pasir Panjang</t>
  </si>
  <si>
    <t>08/49</t>
  </si>
  <si>
    <t>11/81</t>
  </si>
  <si>
    <t>Tg.Karang</t>
  </si>
  <si>
    <t>Tali Air 9 Pasir Panjang</t>
  </si>
  <si>
    <t>Sabak Bernam</t>
  </si>
  <si>
    <t>Ldg. Sg. Belata</t>
  </si>
  <si>
    <t>Sg. Belata</t>
  </si>
  <si>
    <t>09/47</t>
  </si>
  <si>
    <t>08/95</t>
  </si>
  <si>
    <t>Lembah Beringin</t>
  </si>
  <si>
    <t>Loji Air Kuala Kubu Bahru</t>
  </si>
  <si>
    <t>Sg. Kubu</t>
  </si>
  <si>
    <t>Hospital Kuala Kubu Bahru</t>
  </si>
  <si>
    <t>MMS</t>
  </si>
  <si>
    <t>Ampang Pecah</t>
  </si>
  <si>
    <t>Kerling</t>
  </si>
  <si>
    <t>Sg. Kerling</t>
  </si>
  <si>
    <t>Taman Rasa</t>
  </si>
  <si>
    <t>Kg. Pertak</t>
  </si>
  <si>
    <t>Sg. Pertak</t>
  </si>
  <si>
    <t>Parit 1, Sg. Besar</t>
  </si>
  <si>
    <t>Sg. Besar</t>
  </si>
  <si>
    <t>04/34</t>
  </si>
  <si>
    <t>Pejabat JPS Sg. Besar</t>
  </si>
  <si>
    <t>07/65</t>
  </si>
  <si>
    <t>01/81</t>
  </si>
  <si>
    <t>Sg. Burung di Sg. Besar</t>
  </si>
  <si>
    <t>S.R.K Parit 4, Sg. Haji Dorani</t>
  </si>
  <si>
    <t>Sg.Tengi</t>
  </si>
  <si>
    <t>Sg. Nipah</t>
  </si>
  <si>
    <t>Ladang PKPS Sg.Panjang</t>
  </si>
  <si>
    <t>Sg. Bernam</t>
  </si>
  <si>
    <t>Ibu Bekalan Sg. Bernam</t>
  </si>
  <si>
    <t>Rancangan Felda. Suharto</t>
  </si>
  <si>
    <t>11/67</t>
  </si>
  <si>
    <t>FELDA</t>
  </si>
  <si>
    <t>Felda Soeharto</t>
  </si>
  <si>
    <t>Ldg. Escot</t>
  </si>
  <si>
    <t>Ldg. Sg. Gumut</t>
  </si>
  <si>
    <t>Sg. Gumut</t>
  </si>
  <si>
    <t>Tanjung Malim</t>
  </si>
  <si>
    <t>Kompleks Penghulu Hulu Bernam</t>
  </si>
  <si>
    <t>Sg. Inki</t>
  </si>
  <si>
    <t>Bagan Nakhoda Omar</t>
  </si>
  <si>
    <t>Ldg. Raja Hitam</t>
  </si>
  <si>
    <t>01/82</t>
  </si>
  <si>
    <t>Pekan Sabak Bernam</t>
  </si>
  <si>
    <t>Rumah Pam JPS Bagan Terap</t>
  </si>
  <si>
    <t>10/63</t>
  </si>
  <si>
    <t>Parit 6. Sg. Besar</t>
  </si>
  <si>
    <t>11/46</t>
  </si>
  <si>
    <t>Kg. Belia Dua Sg. Panjang</t>
  </si>
  <si>
    <t>Rancangan Felda. Gedangsa</t>
  </si>
  <si>
    <t>Dewan Serbaguna Felda Gedangsa</t>
  </si>
  <si>
    <t>Sg. Gedangsa</t>
  </si>
  <si>
    <t>Bukit Fraser</t>
  </si>
  <si>
    <t>Parit Saliran Sg. Air Tawar</t>
  </si>
  <si>
    <t>Sg. Air Tawar</t>
  </si>
  <si>
    <t>03/67</t>
  </si>
  <si>
    <t>Ins. Latihan Dakwah Selangor</t>
  </si>
  <si>
    <t>Ldg. Sg. Bernam, Bhg. William</t>
  </si>
  <si>
    <t>Jambatan SKC</t>
  </si>
  <si>
    <t>X</t>
  </si>
  <si>
    <t>Y</t>
  </si>
  <si>
    <t>Kerja Air Bkt. Panchor ( Tutup )</t>
  </si>
  <si>
    <t>Kedah</t>
  </si>
  <si>
    <t>Kota Setar</t>
  </si>
  <si>
    <t>Sg. Kerian</t>
  </si>
  <si>
    <t>04/26</t>
  </si>
  <si>
    <t>Rumah Penjaga JPS Parit Nibong</t>
  </si>
  <si>
    <t>Kulim</t>
  </si>
  <si>
    <t>09/08</t>
  </si>
  <si>
    <t>Ldg. Inchong  ( Tutup )</t>
  </si>
  <si>
    <t>01/49</t>
  </si>
  <si>
    <t>09/64</t>
  </si>
  <si>
    <t>Terap</t>
  </si>
  <si>
    <t>02/58</t>
  </si>
  <si>
    <t>Ldg. Selama, Serdang</t>
  </si>
  <si>
    <t>Kg. Dusun</t>
  </si>
  <si>
    <t>Sg. Nibong</t>
  </si>
  <si>
    <t>JPS Kulim</t>
  </si>
  <si>
    <t>Bkt. Besar, Kulim  (Tutup )</t>
  </si>
  <si>
    <t>01/46</t>
  </si>
  <si>
    <t>01/71</t>
  </si>
  <si>
    <t>Sekolah Menengah Mahang</t>
  </si>
  <si>
    <t>01/59</t>
  </si>
  <si>
    <t>Sek.</t>
  </si>
  <si>
    <t>Ldg. Bagan Sena</t>
  </si>
  <si>
    <t>Sg. Perai</t>
  </si>
  <si>
    <t>07/47</t>
  </si>
  <si>
    <t>klang Bahru</t>
  </si>
  <si>
    <t>01/58</t>
  </si>
  <si>
    <t>Ldg. Dublin</t>
  </si>
  <si>
    <t>Baling</t>
  </si>
  <si>
    <t>Sg. Sadim</t>
  </si>
  <si>
    <t>Muda</t>
  </si>
  <si>
    <t>Sik</t>
  </si>
  <si>
    <t>Sg. Muda</t>
  </si>
  <si>
    <t>05/49</t>
  </si>
  <si>
    <t>Ldg. Henrietta</t>
  </si>
  <si>
    <t>Kuala Muda</t>
  </si>
  <si>
    <t>Merbau Pulas</t>
  </si>
  <si>
    <t>04/68</t>
  </si>
  <si>
    <t>Ldg. Bkt. Karangan</t>
  </si>
  <si>
    <t>01/47</t>
  </si>
  <si>
    <t>Bt. 27 Jln. Baling</t>
  </si>
  <si>
    <t>01/64</t>
  </si>
  <si>
    <t>Ldg. Pelam</t>
  </si>
  <si>
    <t>01/48</t>
  </si>
  <si>
    <t>Stor Jps. Sg. Petani (Tutup )</t>
  </si>
  <si>
    <t>Sg. Petani</t>
  </si>
  <si>
    <t>Merbok</t>
  </si>
  <si>
    <t>12/71</t>
  </si>
  <si>
    <t>Hospital Sg. Petani  (Tutup )</t>
  </si>
  <si>
    <t>04/69</t>
  </si>
  <si>
    <t>Jambatan Syed Omar</t>
  </si>
  <si>
    <t>Sungai Muda</t>
  </si>
  <si>
    <t>Ldg. Lubok Segintah</t>
  </si>
  <si>
    <t>Kuala Pegang</t>
  </si>
  <si>
    <t>Sungai Ketil</t>
  </si>
  <si>
    <t>Pulai</t>
  </si>
  <si>
    <t>05/50</t>
  </si>
  <si>
    <t>Hospital Baling</t>
  </si>
  <si>
    <t>Kolam Air Baling  (Tutup )</t>
  </si>
  <si>
    <t>09/80</t>
  </si>
  <si>
    <t>Ibu Bekalan Yen  (Tutup )</t>
  </si>
  <si>
    <t>10/46</t>
  </si>
  <si>
    <t>09/86</t>
  </si>
  <si>
    <t>Kedah Peak</t>
  </si>
  <si>
    <t>Loji Air Gurun</t>
  </si>
  <si>
    <t>04/72</t>
  </si>
  <si>
    <t>Ibu Bekalan Tupah</t>
  </si>
  <si>
    <t>Semeling</t>
  </si>
  <si>
    <t>01/45</t>
  </si>
  <si>
    <t>Kampung Baru</t>
  </si>
  <si>
    <t>Kg. Terabak</t>
  </si>
  <si>
    <t>03/58</t>
  </si>
  <si>
    <t>Sg. Limau</t>
  </si>
  <si>
    <t>Yan</t>
  </si>
  <si>
    <t>Sg. Kedah</t>
  </si>
  <si>
    <t>01/42</t>
  </si>
  <si>
    <t>Guar Chempadak  (Tutup )</t>
  </si>
  <si>
    <t>Kubang Pasu</t>
  </si>
  <si>
    <t>01/43</t>
  </si>
  <si>
    <t>04/77</t>
  </si>
  <si>
    <t>Lombong Batu Gurun  (Tutup )</t>
  </si>
  <si>
    <t>07/49</t>
  </si>
  <si>
    <t>05/72</t>
  </si>
  <si>
    <t>Kg. Gajah Puteh</t>
  </si>
  <si>
    <t>Jeniang Klinik</t>
  </si>
  <si>
    <t>10/47</t>
  </si>
  <si>
    <t>Bt. 61 Jln. Baling</t>
  </si>
  <si>
    <t>09/72</t>
  </si>
  <si>
    <t>Bt. 62 Jln. Baling (Tutup )</t>
  </si>
  <si>
    <t>Kg. Lubok Badak</t>
  </si>
  <si>
    <t>02/61</t>
  </si>
  <si>
    <t>Pendang</t>
  </si>
  <si>
    <t>Kota Sarang Semut</t>
  </si>
  <si>
    <t>Jp.</t>
  </si>
  <si>
    <t>Simpang Tiga, Sg. Limau  (Tutup )</t>
  </si>
  <si>
    <t>Telok Chengai</t>
  </si>
  <si>
    <t>Stesen Keretapi Tokai</t>
  </si>
  <si>
    <t>06/58</t>
  </si>
  <si>
    <t>Kg.Bendang Bukit</t>
  </si>
  <si>
    <t>Kg. Jelutong</t>
  </si>
  <si>
    <t>Nami  (Tutup )</t>
  </si>
  <si>
    <t>12/64</t>
  </si>
  <si>
    <t>Stor JPS Alor Setar</t>
  </si>
  <si>
    <t>Kuala Sungai (Alor Janggus)</t>
  </si>
  <si>
    <t>02/42</t>
  </si>
  <si>
    <t>Gajah Mati</t>
  </si>
  <si>
    <t>Pokok Sena  (Tutup )</t>
  </si>
  <si>
    <t>01/65</t>
  </si>
  <si>
    <t>04/70</t>
  </si>
  <si>
    <t>Naka</t>
  </si>
  <si>
    <t>Komplek Rumah Muda</t>
  </si>
  <si>
    <t>Ampang Muda</t>
  </si>
  <si>
    <t>Padang Terap</t>
  </si>
  <si>
    <t>12/97</t>
  </si>
  <si>
    <t>Mada</t>
  </si>
  <si>
    <t>03/72</t>
  </si>
  <si>
    <t>Kg. Sanglang (Tutup )</t>
  </si>
  <si>
    <t>Stn. Keretapi Tunjang</t>
  </si>
  <si>
    <t>Perlis</t>
  </si>
  <si>
    <t>05/58</t>
  </si>
  <si>
    <t>Kepala Batas</t>
  </si>
  <si>
    <t>Sungai Padang Ter</t>
  </si>
  <si>
    <t>Sungai Kedah</t>
  </si>
  <si>
    <t>Stn. Petak Ujian Jitra</t>
  </si>
  <si>
    <t>03/65</t>
  </si>
  <si>
    <t>Ldg. Tanjung Pauh</t>
  </si>
  <si>
    <t>Sg.Kedah</t>
  </si>
  <si>
    <t>04/47</t>
  </si>
  <si>
    <t>Stn. Kajicuaca Kepala Batas</t>
  </si>
  <si>
    <t>09/36</t>
  </si>
  <si>
    <t>Kg. Paya</t>
  </si>
  <si>
    <t>Sg. Padang Terap</t>
  </si>
  <si>
    <t>Kuala Nerang</t>
  </si>
  <si>
    <t>03/42</t>
  </si>
  <si>
    <t>Ampang Pedu</t>
  </si>
  <si>
    <t>Tong Pelu di Kg. Pinang</t>
  </si>
  <si>
    <t>Sg. Tasek di Kg. Tengah</t>
  </si>
  <si>
    <t>Langkawi</t>
  </si>
  <si>
    <t>Sg. Tasek</t>
  </si>
  <si>
    <t>Sg. Melaka</t>
  </si>
  <si>
    <t>Kodiang</t>
  </si>
  <si>
    <t>Kerja Air Bkt. Wang (Tutup )</t>
  </si>
  <si>
    <t>03/90</t>
  </si>
  <si>
    <t>Ldg. Paya di Kamunting</t>
  </si>
  <si>
    <t>01/07</t>
  </si>
  <si>
    <t>Kampung Jeragan</t>
  </si>
  <si>
    <t>Sungai Bata</t>
  </si>
  <si>
    <t>Kg. Tengah</t>
  </si>
  <si>
    <t>Padang Sanai</t>
  </si>
  <si>
    <t>Durian Burung</t>
  </si>
  <si>
    <t>Sungai Durian Buru</t>
  </si>
  <si>
    <t>Sg. Perangin Tg. Burau (Tutup )</t>
  </si>
  <si>
    <t>Rumah Jps. Padang Mat Sirat</t>
  </si>
  <si>
    <t>08/63</t>
  </si>
  <si>
    <t>Empangan Padang Saga</t>
  </si>
  <si>
    <t>03/46</t>
  </si>
  <si>
    <t>Bukit Kemboja</t>
  </si>
  <si>
    <t>Rubber Dam</t>
  </si>
  <si>
    <t>Kampung Mawar</t>
  </si>
  <si>
    <t>Hulu Emp. Saga</t>
  </si>
  <si>
    <t>Sek. Men. Vokasional,Langkawi (Tutup )</t>
  </si>
  <si>
    <t>Sg. Menghulu</t>
  </si>
  <si>
    <t>06/15</t>
  </si>
  <si>
    <t>Ldg. Sg. Raya</t>
  </si>
  <si>
    <t>Sg. Perlis</t>
  </si>
  <si>
    <t>07/46</t>
  </si>
  <si>
    <t>Gunung Raya (Puncak C) (Tutup )</t>
  </si>
  <si>
    <t>Gunung Raya</t>
  </si>
  <si>
    <t>Kg. Penarak (Tutup )</t>
  </si>
  <si>
    <t>Bt. 8 Changlun (Tutup )</t>
  </si>
  <si>
    <t>Changlun</t>
  </si>
  <si>
    <t>Kampung Padang Pasir</t>
  </si>
  <si>
    <t>Sungai Laka</t>
  </si>
  <si>
    <t>UUM Sintok</t>
  </si>
  <si>
    <t>Sungai Temin</t>
  </si>
  <si>
    <t>STATION_NO</t>
  </si>
  <si>
    <t>STATION_NA</t>
  </si>
  <si>
    <t>RIVER_BASI</t>
  </si>
  <si>
    <t>YEAR_OPEN</t>
  </si>
  <si>
    <t>YEAR_CLOSE</t>
  </si>
  <si>
    <t>PROJECT_ST</t>
  </si>
  <si>
    <t>Pekan Tanjung Malim</t>
  </si>
  <si>
    <t>Perak</t>
  </si>
  <si>
    <t>Batang Padang</t>
  </si>
  <si>
    <t>11/71</t>
  </si>
  <si>
    <t>Hospital Tg. Malim</t>
  </si>
  <si>
    <t>06/09</t>
  </si>
  <si>
    <t>05/74</t>
  </si>
  <si>
    <t>Ldg. Ulu Bernam di Tg. Malim</t>
  </si>
  <si>
    <t>03/47</t>
  </si>
  <si>
    <t>Ldg. Katoyang di Tg. Malim</t>
  </si>
  <si>
    <t>Sg. Katoyang</t>
  </si>
  <si>
    <t>Ldg. Sg. Behrang</t>
  </si>
  <si>
    <t>Sg. Behrang</t>
  </si>
  <si>
    <t>11/21</t>
  </si>
  <si>
    <t>Ldg. Bagan Pasir</t>
  </si>
  <si>
    <t>Hilir Perak</t>
  </si>
  <si>
    <t>Sg. Perak</t>
  </si>
  <si>
    <t>Ldg. Trolak di Trolak</t>
  </si>
  <si>
    <t>Sg. Trolak</t>
  </si>
  <si>
    <t>Ldg. Bedford, Slim River</t>
  </si>
  <si>
    <t>Sg. Slim</t>
  </si>
  <si>
    <t>Ldg. Baba Bakala</t>
  </si>
  <si>
    <t>01/17</t>
  </si>
  <si>
    <t>1997</t>
  </si>
  <si>
    <t>Sg. Bil</t>
  </si>
  <si>
    <t>Bil</t>
  </si>
  <si>
    <t>Slim</t>
  </si>
  <si>
    <t>Ulu Slim</t>
  </si>
  <si>
    <t>Changkat Jong</t>
  </si>
  <si>
    <t>JPS. Bagan Datoh</t>
  </si>
  <si>
    <t>09/32</t>
  </si>
  <si>
    <t>Kampung Pasang Api di Bagan Datoh</t>
  </si>
  <si>
    <t>Muara Sg. Perak</t>
  </si>
  <si>
    <t>Ldg. New Coconut di Bagan Datoh</t>
  </si>
  <si>
    <t>01/26</t>
  </si>
  <si>
    <t>Bt. 5 Ldg. nova Scotia</t>
  </si>
  <si>
    <t>Ldg. Jendarata Telok Intan</t>
  </si>
  <si>
    <t>Sg. Jendarata</t>
  </si>
  <si>
    <t>Ldg. nova Scotia</t>
  </si>
  <si>
    <t>01/66</t>
  </si>
  <si>
    <t>Ldg. Sussex</t>
  </si>
  <si>
    <t>Sg. Bidor</t>
  </si>
  <si>
    <t>Felda Sg. Klah</t>
  </si>
  <si>
    <t>Sg. Klah</t>
  </si>
  <si>
    <t>12/84</t>
  </si>
  <si>
    <t>Ldg. Sg. Klah</t>
  </si>
  <si>
    <t>Sg. Sungkai</t>
  </si>
  <si>
    <t>Ldg. Sg. Sungkai</t>
  </si>
  <si>
    <t>Ldg. Arcadia</t>
  </si>
  <si>
    <t>Manjung</t>
  </si>
  <si>
    <t>04/11</t>
  </si>
  <si>
    <t>JPS. Sg. Dedap</t>
  </si>
  <si>
    <t>Perak Tengah</t>
  </si>
  <si>
    <t>Sg. Dedap</t>
  </si>
  <si>
    <t>02/64</t>
  </si>
  <si>
    <t>JPS. Telok Intan (Stor)</t>
  </si>
  <si>
    <t>01/50</t>
  </si>
  <si>
    <t>Ldg. Sabrang</t>
  </si>
  <si>
    <t>Hospital Telok Intan</t>
  </si>
  <si>
    <t>1888</t>
  </si>
  <si>
    <t>Peringkat 1 Sg. Manik</t>
  </si>
  <si>
    <t>Sg. Manik</t>
  </si>
  <si>
    <t>02/35</t>
  </si>
  <si>
    <t>Ldg. Cicely, Telok Intan</t>
  </si>
  <si>
    <t>04/13</t>
  </si>
  <si>
    <t>Rumah JPS., Sg. Mengkuang</t>
  </si>
  <si>
    <t>Sg. Mengkuang</t>
  </si>
  <si>
    <t>07/19</t>
  </si>
  <si>
    <t>Rumah Kerajaan JPS., Chui Chak</t>
  </si>
  <si>
    <t>Sg. Pahlawan</t>
  </si>
  <si>
    <t>11/54</t>
  </si>
  <si>
    <t>Ldg. Bidor Bahru (Bidor Tahan), Bidor</t>
  </si>
  <si>
    <t>Sg. Tongai</t>
  </si>
  <si>
    <t>Ldg. Bikam, Sungkai</t>
  </si>
  <si>
    <t>Sg. Bikam</t>
  </si>
  <si>
    <t>Ldg. Pundut</t>
  </si>
  <si>
    <t>Sg. Dinding</t>
  </si>
  <si>
    <t>02/67</t>
  </si>
  <si>
    <t>Kg. Gajah</t>
  </si>
  <si>
    <t>01/60</t>
  </si>
  <si>
    <t>Kg. Pulau Besar</t>
  </si>
  <si>
    <t>Peringkat IV Sg. Manik</t>
  </si>
  <si>
    <t>01/53</t>
  </si>
  <si>
    <t>Rumah JPS. di Labu Kubong</t>
  </si>
  <si>
    <t>Sg. Keroh</t>
  </si>
  <si>
    <t>12/63</t>
  </si>
  <si>
    <t>Ldg. Tapah</t>
  </si>
  <si>
    <t>Sg. Batang Padang</t>
  </si>
  <si>
    <t>02/62</t>
  </si>
  <si>
    <t>Ldg. Tai Seng</t>
  </si>
  <si>
    <t>11/63</t>
  </si>
  <si>
    <t>Ibu Bekalan Sg. Manik</t>
  </si>
  <si>
    <t>12/35</t>
  </si>
  <si>
    <t>02/77</t>
  </si>
  <si>
    <t>Ldg. Gedong, Bidor</t>
  </si>
  <si>
    <t>Sg. Gedong</t>
  </si>
  <si>
    <t>Pulau Pangkor</t>
  </si>
  <si>
    <t>02/94</t>
  </si>
  <si>
    <t>Lapangan Terbang di Pulau Pangkor</t>
  </si>
  <si>
    <t>Pengkalan TLDM. Lumut</t>
  </si>
  <si>
    <t>10/91</t>
  </si>
  <si>
    <t>Tldm.</t>
  </si>
  <si>
    <t>Ldg. Sitiawan</t>
  </si>
  <si>
    <t>Sg. Sitiawan</t>
  </si>
  <si>
    <t>Ldg. Walbrook</t>
  </si>
  <si>
    <t>Sg. Changkat Meranti</t>
  </si>
  <si>
    <t>Pejabat JPS Sitiawan</t>
  </si>
  <si>
    <t>08/69</t>
  </si>
  <si>
    <t>Rumah Pam Teluk Sareh</t>
  </si>
  <si>
    <t>JPS. Telok Sena</t>
  </si>
  <si>
    <t>12/61</t>
  </si>
  <si>
    <t>SRK Sri Kinjang, Chenderiang</t>
  </si>
  <si>
    <t>Sg. Chenderiang</t>
  </si>
  <si>
    <t>10/25</t>
  </si>
  <si>
    <t>Hospital Tapah</t>
  </si>
  <si>
    <t>1889</t>
  </si>
  <si>
    <t>Ldg. Sogomana di Lumut</t>
  </si>
  <si>
    <t>Sg. Jelutong</t>
  </si>
  <si>
    <t>01/37</t>
  </si>
  <si>
    <t>Ldg. Segari, Lumut</t>
  </si>
  <si>
    <t>Sg. Segari</t>
  </si>
  <si>
    <t>03/49</t>
  </si>
  <si>
    <t>Ldg. Lumut, Sg. Segari</t>
  </si>
  <si>
    <t>09/35</t>
  </si>
  <si>
    <t>10/78</t>
  </si>
  <si>
    <t>Ldg. Bilham, Sitiawan</t>
  </si>
  <si>
    <t>Sg. Ayer Tawar</t>
  </si>
  <si>
    <t>10/28</t>
  </si>
  <si>
    <t>Ldg. Willingdon, Air Tawar</t>
  </si>
  <si>
    <t>08/34</t>
  </si>
  <si>
    <t>Rumah Pam Bota</t>
  </si>
  <si>
    <t>03/53</t>
  </si>
  <si>
    <t>Tanjung Tualang</t>
  </si>
  <si>
    <t>Kinta</t>
  </si>
  <si>
    <t>Pejabat Daerah Kampar</t>
  </si>
  <si>
    <t>Sg. Kampar</t>
  </si>
  <si>
    <t>Sg. Kinta</t>
  </si>
  <si>
    <t>07/74</t>
  </si>
  <si>
    <t>Ldg. Wah Fatt, Malim Nawar</t>
  </si>
  <si>
    <t>02/26</t>
  </si>
  <si>
    <t>Hospital Kampar</t>
  </si>
  <si>
    <t>1897</t>
  </si>
  <si>
    <t>07/84</t>
  </si>
  <si>
    <t>Kg Sahom</t>
  </si>
  <si>
    <t>Ldg. Huntley di Lumut</t>
  </si>
  <si>
    <t>Ldg. Sg. Bruas</t>
  </si>
  <si>
    <t>Sg. Beruas</t>
  </si>
  <si>
    <t>Ldg. Glenealy</t>
  </si>
  <si>
    <t>11/11</t>
  </si>
  <si>
    <t>Rumah Pam Kubang Haji</t>
  </si>
  <si>
    <t>Sg. Perak di parit</t>
  </si>
  <si>
    <t>Ldg. Nalla di Tronoh</t>
  </si>
  <si>
    <t>Sg. Selinsing</t>
  </si>
  <si>
    <t>Hospital Batu Gajah</t>
  </si>
  <si>
    <t>Ldg. Hill Rise, Batu Gajah</t>
  </si>
  <si>
    <t>Ldg. Kinta Valley</t>
  </si>
  <si>
    <t>Kolam Takongan Air Gopeng</t>
  </si>
  <si>
    <t>Sg. Teja</t>
  </si>
  <si>
    <t>10/61</t>
  </si>
  <si>
    <t>Hospital Gopeng</t>
  </si>
  <si>
    <t>09/65</t>
  </si>
  <si>
    <t>Gua Tempurung di Gopeng</t>
  </si>
  <si>
    <t>Ldg. Allagor di Trong</t>
  </si>
  <si>
    <t>Larut &amp; Matang</t>
  </si>
  <si>
    <t>Sg. Terong</t>
  </si>
  <si>
    <t>Ldg. Hidden Stream di Beruas</t>
  </si>
  <si>
    <t>Sg. Rotan</t>
  </si>
  <si>
    <t>Rumah Kerajaan JKR., Manong</t>
  </si>
  <si>
    <t>Kuala Kangsar</t>
  </si>
  <si>
    <t>04/74</t>
  </si>
  <si>
    <t>Ldg. Sadang</t>
  </si>
  <si>
    <t>Sg. Dendang</t>
  </si>
  <si>
    <t>Ldg. Parit</t>
  </si>
  <si>
    <t>05/13</t>
  </si>
  <si>
    <t>JPS. Kinta, Ipoh</t>
  </si>
  <si>
    <t>02/69</t>
  </si>
  <si>
    <t>02/76</t>
  </si>
  <si>
    <t>Ldg. Pinji</t>
  </si>
  <si>
    <t>Sg. Pinji</t>
  </si>
  <si>
    <t>10/12</t>
  </si>
  <si>
    <t>Sg. Kinta di Kuala Pari</t>
  </si>
  <si>
    <t>Politeknik Ungku Omar</t>
  </si>
  <si>
    <t>Kramat Pulai Berhad</t>
  </si>
  <si>
    <t>04/50</t>
  </si>
  <si>
    <t>09/82</t>
  </si>
  <si>
    <t>Pusat Latihan Pertanian Manong</t>
  </si>
  <si>
    <t>/74</t>
  </si>
  <si>
    <t>Empang Lempor</t>
  </si>
  <si>
    <t>12/90</t>
  </si>
  <si>
    <t>Ldg. Senggang</t>
  </si>
  <si>
    <t>09/69</t>
  </si>
  <si>
    <t>Bandar Baru (Meru Raya)</t>
  </si>
  <si>
    <t>Sg. Pari</t>
  </si>
  <si>
    <t>06/14</t>
  </si>
  <si>
    <t>Hospital Ipoh</t>
  </si>
  <si>
    <t>1891</t>
  </si>
  <si>
    <t>Ldg. Kuda Keb. Ulu Kinta.</t>
  </si>
  <si>
    <t>Sg. Kinta di Tanjung Rambutan</t>
  </si>
  <si>
    <t>Kerja Air Kinta, Tg. Rambutan</t>
  </si>
  <si>
    <t>Taman Bahagia, Tg. Rambutan</t>
  </si>
  <si>
    <t>01/16</t>
  </si>
  <si>
    <t>06/90</t>
  </si>
  <si>
    <t>Bkt. Gantang di Kg. Kubu</t>
  </si>
  <si>
    <t>Sg. Larah</t>
  </si>
  <si>
    <t>Sg. Jaha</t>
  </si>
  <si>
    <t>05/47</t>
  </si>
  <si>
    <t>Ldg. Temerloh di Trong</t>
  </si>
  <si>
    <t>Sg. Perotan</t>
  </si>
  <si>
    <t>Sg. Trong</t>
  </si>
  <si>
    <t>Ldg. Taiping</t>
  </si>
  <si>
    <t>Sg. Larut</t>
  </si>
  <si>
    <t>Ldg. Bkt. Berapit</t>
  </si>
  <si>
    <t>Sg. Kangsar</t>
  </si>
  <si>
    <t>Ldg. Perak River Valley</t>
  </si>
  <si>
    <t>Ibu Bekalan Talang di Kuala Kangsar</t>
  </si>
  <si>
    <t>10/59</t>
  </si>
  <si>
    <t>JPS. Kuala Kangsar</t>
  </si>
  <si>
    <t>07/72</t>
  </si>
  <si>
    <t>03/74</t>
  </si>
  <si>
    <t>Hospital Kuala Kangsar</t>
  </si>
  <si>
    <t>Kolam Air JKR. di Sg. Siput</t>
  </si>
  <si>
    <t>Sg. Bemban</t>
  </si>
  <si>
    <t>Ldg. Chemor</t>
  </si>
  <si>
    <t>Sg. Chemor</t>
  </si>
  <si>
    <t>Sekolah Kebangsaan Matang</t>
  </si>
  <si>
    <t>Lapangan Terbang Taiping</t>
  </si>
  <si>
    <t>Sg. Batu Tugoh</t>
  </si>
  <si>
    <t>10/49</t>
  </si>
  <si>
    <t>Ibu Bekalan JKR. Taiping</t>
  </si>
  <si>
    <t>08/30</t>
  </si>
  <si>
    <t>Bkt. Larut di Taiping</t>
  </si>
  <si>
    <t>Hospital Taiping</t>
  </si>
  <si>
    <t>05/77</t>
  </si>
  <si>
    <t>Jambatan Iskandar</t>
  </si>
  <si>
    <t>Kg. Pulau Mentimum, Sg. Siput</t>
  </si>
  <si>
    <t>Sg. Siput</t>
  </si>
  <si>
    <t>Ldg. Changkat Salak</t>
  </si>
  <si>
    <t>Ldg. Kemuning di Sg. Siput</t>
  </si>
  <si>
    <t>02/10</t>
  </si>
  <si>
    <t>Belia Perlop 1, Sg. Siput</t>
  </si>
  <si>
    <t>Ldg. Elphill di Sg. Siput</t>
  </si>
  <si>
    <t>Sg. Pelus</t>
  </si>
  <si>
    <t>Ldg. Gula di Kuala Kurau</t>
  </si>
  <si>
    <t>Kerian</t>
  </si>
  <si>
    <t>Sg. Kurau</t>
  </si>
  <si>
    <t>Ldg. Gedong di Kerian</t>
  </si>
  <si>
    <t>07/01</t>
  </si>
  <si>
    <t>Stn. Petak Ujian Selinsing</t>
  </si>
  <si>
    <t>Ldg. Lingerwood, Kerian</t>
  </si>
  <si>
    <t>11/61</t>
  </si>
  <si>
    <t>Ldg. Windsor di Ulu Sepetang</t>
  </si>
  <si>
    <t>Sg. Sepetang</t>
  </si>
  <si>
    <t>Ldg.norseman</t>
  </si>
  <si>
    <t>Sg. Air Kuning</t>
  </si>
  <si>
    <t>Batu 14 Batu Kurau</t>
  </si>
  <si>
    <t>Ibu Bekalan Sempeneh di Batu Kurau</t>
  </si>
  <si>
    <t>Pusat Kesihatan Kecil di Bt. Kurau</t>
  </si>
  <si>
    <t>Kolam Takongan Air Chenderoh</t>
  </si>
  <si>
    <t>Ldg. Kati di  Kuala Kangsar</t>
  </si>
  <si>
    <t>Sg. Kati</t>
  </si>
  <si>
    <t>Ldg. Sg. Krudda di Sg. Siput</t>
  </si>
  <si>
    <t>03/63</t>
  </si>
  <si>
    <t>Balai Polis Kg. Lintang</t>
  </si>
  <si>
    <t>Sg. Plus</t>
  </si>
  <si>
    <t>06/68</t>
  </si>
  <si>
    <t>Polis</t>
  </si>
  <si>
    <t>Sungai Plus di Kampung Lintang</t>
  </si>
  <si>
    <t>Plus</t>
  </si>
  <si>
    <t>Stn. Petak Ujian Tg. Piandang</t>
  </si>
  <si>
    <t>Sg. Piandang</t>
  </si>
  <si>
    <t>Rumah Buroh Kuala Kurau</t>
  </si>
  <si>
    <t>1895</t>
  </si>
  <si>
    <t>JPS. Bagan Serai</t>
  </si>
  <si>
    <t>07/62</t>
  </si>
  <si>
    <t>Rumah JPS. di Alor Pongsu</t>
  </si>
  <si>
    <t>Sg. Samagagah</t>
  </si>
  <si>
    <t>05/66</t>
  </si>
  <si>
    <t>Jln. Matang Buloh di Bagan Serai</t>
  </si>
  <si>
    <t>Bagan Serai</t>
  </si>
  <si>
    <t>02/81</t>
  </si>
  <si>
    <t>Ldg. Sg. Kerian</t>
  </si>
  <si>
    <t>Ldg. Sg. Kerian di Parit Buntar</t>
  </si>
  <si>
    <t>Kerja Air JKR, Bagan Serai</t>
  </si>
  <si>
    <t>05/83</t>
  </si>
  <si>
    <t>Ldg. Hock, Alor Pongsu</t>
  </si>
  <si>
    <t>03/79</t>
  </si>
  <si>
    <t>Kolam Air Bkt. Merah</t>
  </si>
  <si>
    <t>Ldg. Pondoland di Pondok Tanjung</t>
  </si>
  <si>
    <t>Sg. Kurau di Pondok Tanjong</t>
  </si>
  <si>
    <t>Kurau</t>
  </si>
  <si>
    <t>Ibu Bekalan Jelai</t>
  </si>
  <si>
    <t>Ldg. Kota Lima</t>
  </si>
  <si>
    <t>Perak Hulu</t>
  </si>
  <si>
    <t>Hospital Parit Buntar</t>
  </si>
  <si>
    <t>Stn. Petak Ujian Titi Serong</t>
  </si>
  <si>
    <t>Sg. Tg. Piandang</t>
  </si>
  <si>
    <t>01/31</t>
  </si>
  <si>
    <t>Kawasan Sg. Acheh</t>
  </si>
  <si>
    <t>Sg. Acheh</t>
  </si>
  <si>
    <t>Rantangan Kabel Dusun Limau</t>
  </si>
  <si>
    <t>Selama</t>
  </si>
  <si>
    <t>11/72</t>
  </si>
  <si>
    <t>Ldg. Lumboh Kluang di Selama</t>
  </si>
  <si>
    <t>01/38</t>
  </si>
  <si>
    <t>Ldg. Hibernia, Selama</t>
  </si>
  <si>
    <t>02/16</t>
  </si>
  <si>
    <t>Ldg. Stoughton di Batu Kurau</t>
  </si>
  <si>
    <t>Sg. Sega</t>
  </si>
  <si>
    <t>Sg. Ijok</t>
  </si>
  <si>
    <t>Ldg. Holyrood di Selama</t>
  </si>
  <si>
    <t>Sg. Tebing Tinggi</t>
  </si>
  <si>
    <t>01/36</t>
  </si>
  <si>
    <t>Ibu Bekalan Ulu Ijok</t>
  </si>
  <si>
    <t>Pekan Lenggong</t>
  </si>
  <si>
    <t>Sg. Lenggong</t>
  </si>
  <si>
    <t>12/62</t>
  </si>
  <si>
    <t>Dispensari Selama, Selama</t>
  </si>
  <si>
    <t>Sg. Kerian di Selama</t>
  </si>
  <si>
    <t>Kolam Air JKR di Selama</t>
  </si>
  <si>
    <t>08/74</t>
  </si>
  <si>
    <t>Ldg. Seldings di Selama</t>
  </si>
  <si>
    <t>Sg. Selama</t>
  </si>
  <si>
    <t>03/12</t>
  </si>
  <si>
    <t>Stn. Pemeriksaan Hutan Lawin</t>
  </si>
  <si>
    <t>Hulu Perak</t>
  </si>
  <si>
    <t>Kuala Kenderong</t>
  </si>
  <si>
    <t>Sg. Kenderong</t>
  </si>
  <si>
    <t>06/72</t>
  </si>
  <si>
    <t>Hospital Grik</t>
  </si>
  <si>
    <t>Sg. Grik</t>
  </si>
  <si>
    <t>1900</t>
  </si>
  <si>
    <t>07/77</t>
  </si>
  <si>
    <t>Felda Kg. Bersia</t>
  </si>
  <si>
    <t>Tasik Banding</t>
  </si>
  <si>
    <t>Dispensari Klian Intan</t>
  </si>
  <si>
    <t>Sg. Rui</t>
  </si>
  <si>
    <t>03/10</t>
  </si>
  <si>
    <t>06/70</t>
  </si>
  <si>
    <t>Kg. Lalang di Grik</t>
  </si>
  <si>
    <t>01/72</t>
  </si>
  <si>
    <t>Dispensari Kroh</t>
  </si>
  <si>
    <t>1989</t>
  </si>
  <si>
    <t>2002</t>
  </si>
  <si>
    <t>Brook</t>
  </si>
  <si>
    <t>Kelantan</t>
  </si>
  <si>
    <t>Gua Musang</t>
  </si>
  <si>
    <t>Sg. Brook</t>
  </si>
  <si>
    <t>11/74</t>
  </si>
  <si>
    <t>Lojing</t>
  </si>
  <si>
    <t>Blau</t>
  </si>
  <si>
    <t>Sg. Nenggiri</t>
  </si>
  <si>
    <t>Ldg. Mentara</t>
  </si>
  <si>
    <t>09/56</t>
  </si>
  <si>
    <t>Upper Chiku</t>
  </si>
  <si>
    <t>08/76, 1/1/94</t>
  </si>
  <si>
    <t>Gunung Gagau</t>
  </si>
  <si>
    <t>Sg. Gagau</t>
  </si>
  <si>
    <t>Hau (Replace with REDIP))</t>
  </si>
  <si>
    <t>14/10/97</t>
  </si>
  <si>
    <t>Redip</t>
  </si>
  <si>
    <t>Kemasin</t>
  </si>
  <si>
    <t>Sg. Galas</t>
  </si>
  <si>
    <t>Chabai</t>
  </si>
  <si>
    <t>Kg. Lebir, paloh</t>
  </si>
  <si>
    <t>Kuala Krai</t>
  </si>
  <si>
    <t>Sg. Lebir</t>
  </si>
  <si>
    <t>Kg. Aring</t>
  </si>
  <si>
    <t>Sg. Aring</t>
  </si>
  <si>
    <t>Gemala</t>
  </si>
  <si>
    <t>Kg. Limau Kasturi</t>
  </si>
  <si>
    <t>08/64</t>
  </si>
  <si>
    <t>Bertam</t>
  </si>
  <si>
    <t>Balai Polis Bertam</t>
  </si>
  <si>
    <t>Gob</t>
  </si>
  <si>
    <t>Nenggiri</t>
  </si>
  <si>
    <t>Pasik</t>
  </si>
  <si>
    <t>Stn. Keretapi Kemubu</t>
  </si>
  <si>
    <t>01/39</t>
  </si>
  <si>
    <t>07/66</t>
  </si>
  <si>
    <t>Tualang</t>
  </si>
  <si>
    <t>Sg. Kelantan</t>
  </si>
  <si>
    <t>Stn. Pertanian Dabong</t>
  </si>
  <si>
    <t>07/52</t>
  </si>
  <si>
    <t>10/71</t>
  </si>
  <si>
    <t>Stn. Keretapi Bukit Abu</t>
  </si>
  <si>
    <t>03/52</t>
  </si>
  <si>
    <t>12/66</t>
  </si>
  <si>
    <t>Ldg. Kuala Pergau</t>
  </si>
  <si>
    <t>Jeli</t>
  </si>
  <si>
    <t>Sg. Pergau</t>
  </si>
  <si>
    <t>05/39</t>
  </si>
  <si>
    <t>Dabong</t>
  </si>
  <si>
    <t>Ldg. Kuala Gris</t>
  </si>
  <si>
    <t>Kg. Laloh</t>
  </si>
  <si>
    <t>Stn. Keretapi Manek Urai</t>
  </si>
  <si>
    <t>Pergau</t>
  </si>
  <si>
    <t>Sg. Balah</t>
  </si>
  <si>
    <t>Sg.Balah</t>
  </si>
  <si>
    <t>Ldg. Kuala Balah (Kg. Tg. Ab. Rahman)</t>
  </si>
  <si>
    <t>Ldg. Lepan Kabu</t>
  </si>
  <si>
    <t>Lebir</t>
  </si>
  <si>
    <t>Sek.Keb.Lubok Bungor</t>
  </si>
  <si>
    <t>Sep-56</t>
  </si>
  <si>
    <t>Ulu Sekor (Ulu Sokor)</t>
  </si>
  <si>
    <t>Tanah Merah</t>
  </si>
  <si>
    <t>Sg. Sokor</t>
  </si>
  <si>
    <t>01/77</t>
  </si>
  <si>
    <t>Stn. Keretapi Sg. Nal</t>
  </si>
  <si>
    <t>Sg. Nal</t>
  </si>
  <si>
    <t>10/48</t>
  </si>
  <si>
    <t>06/61</t>
  </si>
  <si>
    <t>Ldg. Kuala Nal</t>
  </si>
  <si>
    <t>Sg. Bagan</t>
  </si>
  <si>
    <t>Sek. Men. Teknik Kuala Krai</t>
  </si>
  <si>
    <t>11/48</t>
  </si>
  <si>
    <t>Stn. Pemereksaan Hutan, Jeli</t>
  </si>
  <si>
    <t>02/57</t>
  </si>
  <si>
    <t>Ldg. Kenneth</t>
  </si>
  <si>
    <t>10/56</t>
  </si>
  <si>
    <t>Ldg. Kerilla</t>
  </si>
  <si>
    <t>Stn. Janakuasa Temangan</t>
  </si>
  <si>
    <t>Machang</t>
  </si>
  <si>
    <t>Sg.</t>
  </si>
  <si>
    <t>09/61</t>
  </si>
  <si>
    <t>02/66</t>
  </si>
  <si>
    <t>Sokor Tegawan</t>
  </si>
  <si>
    <t>Bt.13. Jeli</t>
  </si>
  <si>
    <t>Ldg. Kuala Pertang</t>
  </si>
  <si>
    <t>Chenulang</t>
  </si>
  <si>
    <t>Kem Lln. Batu Melintang</t>
  </si>
  <si>
    <t>12/67</t>
  </si>
  <si>
    <t>Kg. Gemang Bahru (Sek. Men. Teknik Jeli)</t>
  </si>
  <si>
    <t>Sg. Lanas</t>
  </si>
  <si>
    <t>Air Lanas</t>
  </si>
  <si>
    <t>Golok</t>
  </si>
  <si>
    <t>07/80</t>
  </si>
  <si>
    <t>Kg. Jeli</t>
  </si>
  <si>
    <t>Kg. Durian Daun (Lawang)</t>
  </si>
  <si>
    <t>Sg. Jedok</t>
  </si>
  <si>
    <t>12/79</t>
  </si>
  <si>
    <t>Ulu Bertam</t>
  </si>
  <si>
    <t>Gual Ipoh, Ulu Kusial</t>
  </si>
  <si>
    <t>Sg. Kusial</t>
  </si>
  <si>
    <t>Majlis Tempatan Temangan</t>
  </si>
  <si>
    <t>12/70</t>
  </si>
  <si>
    <t>01/85</t>
  </si>
  <si>
    <t>Ldg Tebing Tinggi</t>
  </si>
  <si>
    <t>Kusial</t>
  </si>
  <si>
    <t>Stn. Keretapi Temangan</t>
  </si>
  <si>
    <t>11/66</t>
  </si>
  <si>
    <t>Stn. Keretapi Tanah Merah</t>
  </si>
  <si>
    <t>08/48</t>
  </si>
  <si>
    <t>Jps Machang</t>
  </si>
  <si>
    <t>01/52</t>
  </si>
  <si>
    <t>Telusan (Rumah Pam Telusan)</t>
  </si>
  <si>
    <t>Pasir Puteh</t>
  </si>
  <si>
    <t>Sg. Jelam</t>
  </si>
  <si>
    <t>Semerak</t>
  </si>
  <si>
    <t>08/56, 08/95</t>
  </si>
  <si>
    <t>Kg. Wakaf Raja (Ibu Bekalan Bkt. Yong)</t>
  </si>
  <si>
    <t>Sg. Yong</t>
  </si>
  <si>
    <t>Balai Polis Bukit Yong</t>
  </si>
  <si>
    <t>Jan-51</t>
  </si>
  <si>
    <t>Jenob</t>
  </si>
  <si>
    <t>Sg. Golok</t>
  </si>
  <si>
    <t>Pej. Pertanian Batang Merbau</t>
  </si>
  <si>
    <t>11/64</t>
  </si>
  <si>
    <t>Bendang Nyior</t>
  </si>
  <si>
    <t>Sg. Jegor</t>
  </si>
  <si>
    <t>03/80</t>
  </si>
  <si>
    <t>Stn. Keretapi Bkt. Panau (Sek. Keb. Bkt. Panau)</t>
  </si>
  <si>
    <t>Ibu Bekalan Tiga Daerah</t>
  </si>
  <si>
    <t>Sg. Semerak</t>
  </si>
  <si>
    <t>09/62</t>
  </si>
  <si>
    <t>Kada.</t>
  </si>
  <si>
    <t>Rumah Pengawas Bkt. Abal</t>
  </si>
  <si>
    <t>Ldg. Cherang Tuli (LTN Pdg. Pak Amat)</t>
  </si>
  <si>
    <t>01/38, 12/95</t>
  </si>
  <si>
    <t>Sg. Petai</t>
  </si>
  <si>
    <t>07/56</t>
  </si>
  <si>
    <t>Sek. Men. Cherang Ruku</t>
  </si>
  <si>
    <t>Sg. Petai Pasir Puteh</t>
  </si>
  <si>
    <t>Jul-56</t>
  </si>
  <si>
    <t>Bkt. Kwong (Ampangan Bkt. Kwong)</t>
  </si>
  <si>
    <t>P. Mas/R.Panjang</t>
  </si>
  <si>
    <t>08/60</t>
  </si>
  <si>
    <t>Kg. Batu Karang</t>
  </si>
  <si>
    <t>Bkt Tandak</t>
  </si>
  <si>
    <t>P.Mas/Rantau Panjang</t>
  </si>
  <si>
    <t>Sg.Tasik</t>
  </si>
  <si>
    <t>May-58</t>
  </si>
  <si>
    <t>Kg. Tandak (Kg. Bkt. Pak Junus)</t>
  </si>
  <si>
    <t>P. Mas/ R.Panjang</t>
  </si>
  <si>
    <t>Sg. Tasik</t>
  </si>
  <si>
    <t>Ibu Bekalan To' Uban</t>
  </si>
  <si>
    <t>Pasir Mas</t>
  </si>
  <si>
    <t>Stn. Pertanian Melor</t>
  </si>
  <si>
    <t>Kota Bharu</t>
  </si>
  <si>
    <t>Sg. Melor</t>
  </si>
  <si>
    <t>Pej. Pertanian Melor Pengawas</t>
  </si>
  <si>
    <t>08/56</t>
  </si>
  <si>
    <t>01/69</t>
  </si>
  <si>
    <t>Serdang, Gunong Barat Bachok</t>
  </si>
  <si>
    <t>Bachok</t>
  </si>
  <si>
    <t>00/82</t>
  </si>
  <si>
    <t>Tok Ajam (Bkt. Gedombak P. Puteh)</t>
  </si>
  <si>
    <t>Rumah Kastam Rantau Panjang</t>
  </si>
  <si>
    <t>Stn. Keretapi Gual Periok</t>
  </si>
  <si>
    <t>Sg. Lemal</t>
  </si>
  <si>
    <t>09/66</t>
  </si>
  <si>
    <t>Lemal Pasir Mas</t>
  </si>
  <si>
    <t>Jun-94</t>
  </si>
  <si>
    <t>Aug-07</t>
  </si>
  <si>
    <t>Rumah Pam Repek (Kg. Pdg. Ragut Repek)</t>
  </si>
  <si>
    <t>10/40</t>
  </si>
  <si>
    <t>Rumah Kerajaan Jps, Meranti</t>
  </si>
  <si>
    <t>Rumah Pam Salor di Pengkalan Kubor</t>
  </si>
  <si>
    <t>10/51</t>
  </si>
  <si>
    <t>Kg. Peringat</t>
  </si>
  <si>
    <t>Sg. Kemasin</t>
  </si>
  <si>
    <t>05/78</t>
  </si>
  <si>
    <t>Chabang Tiga Pendek (Kg. Lubuk Jambu)</t>
  </si>
  <si>
    <t>08/56, 12/83</t>
  </si>
  <si>
    <t>Kg. Binjai</t>
  </si>
  <si>
    <t>Sg. Peng.Datu</t>
  </si>
  <si>
    <t>Peng. Datu</t>
  </si>
  <si>
    <t>Balai Polis Binjai</t>
  </si>
  <si>
    <t>01/57</t>
  </si>
  <si>
    <t>Teratak Pulai</t>
  </si>
  <si>
    <t>01/56</t>
  </si>
  <si>
    <t>Kg. Tangkok</t>
  </si>
  <si>
    <t>02/63</t>
  </si>
  <si>
    <t>Pejabat JPS Bachok</t>
  </si>
  <si>
    <t>Kuala Jambu</t>
  </si>
  <si>
    <t>Tumpat</t>
  </si>
  <si>
    <t>08/57</t>
  </si>
  <si>
    <t>Kg. Kebakat</t>
  </si>
  <si>
    <t>Chabang Ampat</t>
  </si>
  <si>
    <t>Balai Polis Wakaf Bharu</t>
  </si>
  <si>
    <t>Stn. Keretapi Kg. Berangan</t>
  </si>
  <si>
    <t>Sep-98</t>
  </si>
  <si>
    <t>Stn. Keretapi Tumpat (Pengkalan Nangka Tumpat)</t>
  </si>
  <si>
    <t>Jeti Kastam</t>
  </si>
  <si>
    <t>Stor JPS Kota Bharu</t>
  </si>
  <si>
    <t>Stn. Keretapi Pelekbang</t>
  </si>
  <si>
    <t>10/64</t>
  </si>
  <si>
    <t>Stn. Kajicuaca Pengkalan Chepa</t>
  </si>
  <si>
    <t>Sg. Keladi</t>
  </si>
  <si>
    <t>Jambatan Petaling</t>
  </si>
  <si>
    <t>Tmn Sg. Besi (SMART)</t>
  </si>
  <si>
    <t>Taman Desa (SMART)</t>
  </si>
  <si>
    <t>km10 Ulu Kelang di UK Height</t>
  </si>
  <si>
    <t>Jln Sg. Udang di segambut</t>
  </si>
  <si>
    <t>Kg. Berembang di Keramat</t>
  </si>
  <si>
    <t>Pej. JPS, Jln. Tugu</t>
  </si>
  <si>
    <t>05/75</t>
  </si>
  <si>
    <t>JPS Wilayah Persekutuan</t>
  </si>
  <si>
    <t>JPS Wilayah KL</t>
  </si>
  <si>
    <t>Persekutuan(Station closed in</t>
  </si>
  <si>
    <t>06/93</t>
  </si>
  <si>
    <t>Sek. Ren. Taman Maluri</t>
  </si>
  <si>
    <t>2001</t>
  </si>
  <si>
    <t>Ldg. Edinburgh Site 2</t>
  </si>
  <si>
    <t>Sg. Batu</t>
  </si>
  <si>
    <t>Sek. M.G.S. Jln. Cenderasari</t>
  </si>
  <si>
    <t>11/83</t>
  </si>
  <si>
    <t>Hospital Tanglin, K. Lumpur</t>
  </si>
  <si>
    <t>1879</t>
  </si>
  <si>
    <t>Ldg. Bangsar</t>
  </si>
  <si>
    <t>05/34</t>
  </si>
  <si>
    <t>12/65</t>
  </si>
  <si>
    <t>Leboh Pasar</t>
  </si>
  <si>
    <t>Taman Desa</t>
  </si>
  <si>
    <t>Sg. Kerayong</t>
  </si>
  <si>
    <t>Pandan Indah</t>
  </si>
  <si>
    <t>Air Panas</t>
  </si>
  <si>
    <t>Sg. Bunus</t>
  </si>
  <si>
    <t>Klm T. Banjir Batu PO di Empat Tin</t>
  </si>
  <si>
    <t>Hospital Besar Wilayah Persekutuan</t>
  </si>
  <si>
    <t>JPS Ampang</t>
  </si>
  <si>
    <t>Loji Air Bkt., Weld, K. Lumpur</t>
  </si>
  <si>
    <t>12/85</t>
  </si>
  <si>
    <t>Sg. Kerayong di Cheras Baru (SMART)</t>
  </si>
  <si>
    <t>Taman Miharja (SMART)</t>
  </si>
  <si>
    <t>Sg. Kerayong di Pandan Indah</t>
  </si>
  <si>
    <t>Sg. Ampang @ Bukit Belacan</t>
  </si>
  <si>
    <t>SMART</t>
  </si>
  <si>
    <t>Sg. Ampang di Kg. Melayu Ampang</t>
  </si>
  <si>
    <t>Kg Cheras Baru</t>
  </si>
  <si>
    <t>Jalan Cheras</t>
  </si>
  <si>
    <t>Kg. Sg. Tua</t>
  </si>
  <si>
    <t>09/73</t>
  </si>
  <si>
    <t>PPH di Kepong</t>
  </si>
  <si>
    <t>Pph. Kepong</t>
  </si>
  <si>
    <t>01/89</t>
  </si>
  <si>
    <t>SMJK Kepong (Pindah ke Taman Sri Murni)</t>
  </si>
  <si>
    <t>Batu</t>
  </si>
  <si>
    <t>Empangan Batu</t>
  </si>
  <si>
    <t>Taman Ehsan di Kepong</t>
  </si>
  <si>
    <t>Jinjang</t>
  </si>
  <si>
    <t>Ibu Bekalan Km. 16, Gombak</t>
  </si>
  <si>
    <t>Ibu Bekalan Km. 11, Gombak</t>
  </si>
  <si>
    <t>Kg.Kuala Seleh</t>
  </si>
  <si>
    <t>Kg. Kerdas(This station shifted from Gombak Damsite)(SMART)</t>
  </si>
  <si>
    <t>Jam. Petaling di Jln Klang Lama</t>
  </si>
  <si>
    <t>Gombak Simpang Tiga</t>
  </si>
  <si>
    <t>Air Terjun Sg.Batu</t>
  </si>
  <si>
    <t>03/85</t>
  </si>
  <si>
    <t>Genting Sempah</t>
  </si>
  <si>
    <t>Bentong (pahang)</t>
  </si>
  <si>
    <t>10/74</t>
  </si>
  <si>
    <t>Pulau Besar</t>
  </si>
  <si>
    <t>Melaka</t>
  </si>
  <si>
    <t>Melaka Tengah</t>
  </si>
  <si>
    <t>10/68</t>
  </si>
  <si>
    <t>08/85</t>
  </si>
  <si>
    <t>Pekan Merlimau</t>
  </si>
  <si>
    <t>Jasin</t>
  </si>
  <si>
    <t>Sg. Kesang</t>
  </si>
  <si>
    <t>Kesang</t>
  </si>
  <si>
    <t>Ranc. Taliair Telok Rimba</t>
  </si>
  <si>
    <t>Pusat Pertanian Sg. Udang</t>
  </si>
  <si>
    <t>Sg. Udang</t>
  </si>
  <si>
    <t>07/32</t>
  </si>
  <si>
    <t>Ldg. Rembia</t>
  </si>
  <si>
    <t>Empangan Bertam Hulu</t>
  </si>
  <si>
    <t>08/97</t>
  </si>
  <si>
    <t>Bkt. Sebukur</t>
  </si>
  <si>
    <t>11/79</t>
  </si>
  <si>
    <t>11/95</t>
  </si>
  <si>
    <t>Alor Gajah</t>
  </si>
  <si>
    <t>Sungai Melaka</t>
  </si>
  <si>
    <t>Setor JPS Bukit Baru</t>
  </si>
  <si>
    <t>04/09</t>
  </si>
  <si>
    <t>Lapangan Terbang Melaka</t>
  </si>
  <si>
    <t>Hospital Umum, Melaka</t>
  </si>
  <si>
    <t>06/79</t>
  </si>
  <si>
    <t>Sg. Putat, Batu Berendam</t>
  </si>
  <si>
    <t>01/2007</t>
  </si>
  <si>
    <t>Ldg. Bkt. Kajang</t>
  </si>
  <si>
    <t>Pintu Pasang Surut Duyong</t>
  </si>
  <si>
    <t>Ldg. Jasin Lalang</t>
  </si>
  <si>
    <t>Chin Chin (Tepi Jalan)</t>
  </si>
  <si>
    <t>Ldg. Sg. Bharu</t>
  </si>
  <si>
    <t>Sg. Bharu</t>
  </si>
  <si>
    <t>Linggi</t>
  </si>
  <si>
    <t>Ldg. Lendu</t>
  </si>
  <si>
    <t>Solok Duku</t>
  </si>
  <si>
    <t>Tengah</t>
  </si>
  <si>
    <t>Jkr. Alor Gajah</t>
  </si>
  <si>
    <t>Melaka Pindah</t>
  </si>
  <si>
    <t>Ldg. Sing Lian di Bhg. Garing</t>
  </si>
  <si>
    <t>01/33</t>
  </si>
  <si>
    <t>Pekan Selandar</t>
  </si>
  <si>
    <t>Utara</t>
  </si>
  <si>
    <t>Sg. Simpang</t>
  </si>
  <si>
    <t>05/08</t>
  </si>
  <si>
    <t>Ldg. Sing Lian di Bkt. Senggeh</t>
  </si>
  <si>
    <t>Hospital Jasin</t>
  </si>
  <si>
    <t>Ldg. Diamond Jubilee di Jasin</t>
  </si>
  <si>
    <t>Ldg. Bkt. Asahan</t>
  </si>
  <si>
    <t>Jam. Sg. Simpang Jln. Empat</t>
  </si>
  <si>
    <t>Sg. Simpang  Jalan Empat</t>
  </si>
  <si>
    <t>Sg. Siput, Lubuk China</t>
  </si>
  <si>
    <t>Ldg. Pegoh, Alor Gajah</t>
  </si>
  <si>
    <t>Tg. Rimau di Alor Gajah</t>
  </si>
  <si>
    <t>Ldg. Tebolang di Tebong</t>
  </si>
  <si>
    <t>Datoh Kramat di Nyalas</t>
  </si>
  <si>
    <t>Sg. Nyalas</t>
  </si>
  <si>
    <t>08/59</t>
  </si>
  <si>
    <t>Politeknik Port Dickson</t>
  </si>
  <si>
    <t>Negeri Sembilan</t>
  </si>
  <si>
    <t>Port Dickson</t>
  </si>
  <si>
    <t>Sg. Linggi</t>
  </si>
  <si>
    <t>KG.</t>
  </si>
  <si>
    <t>Ldg. Sengkang</t>
  </si>
  <si>
    <t>Ldg. Sg. Bahru</t>
  </si>
  <si>
    <t>Rembau</t>
  </si>
  <si>
    <t>Sg. Bahru</t>
  </si>
  <si>
    <t>06/33</t>
  </si>
  <si>
    <t>Ldg. Bkt. Bertam</t>
  </si>
  <si>
    <t>Titi Bintagor</t>
  </si>
  <si>
    <t>Sg. Rembau</t>
  </si>
  <si>
    <t>JPS Tampin</t>
  </si>
  <si>
    <t>Tampin</t>
  </si>
  <si>
    <t>Ldg. Air Tengah</t>
  </si>
  <si>
    <t>Hospital Port Dickson</t>
  </si>
  <si>
    <t>Sg. Lukut</t>
  </si>
  <si>
    <t>Lukut</t>
  </si>
  <si>
    <t>RS.</t>
  </si>
  <si>
    <t>Ldg. Sua Betong</t>
  </si>
  <si>
    <t>05/11</t>
  </si>
  <si>
    <t>Sua Betong</t>
  </si>
  <si>
    <t>Kg. Solok Air Murai</t>
  </si>
  <si>
    <t>Pulau Mampat di Rembau</t>
  </si>
  <si>
    <t>Chengkau</t>
  </si>
  <si>
    <t>Ldg. Repah</t>
  </si>
  <si>
    <t>Ldg. Gan Kee</t>
  </si>
  <si>
    <t>Sg. Gemencheh di Ampang Sg. Dua</t>
  </si>
  <si>
    <t>Sg. Gemench</t>
  </si>
  <si>
    <t>Sg. Gemencheh</t>
  </si>
  <si>
    <t>03/11</t>
  </si>
  <si>
    <t>Rumah Pemereksa di Chuah</t>
  </si>
  <si>
    <t>Pusat Komoditi Sendayan</t>
  </si>
  <si>
    <t>JP.</t>
  </si>
  <si>
    <t>Ldg. Mambau</t>
  </si>
  <si>
    <t>07/87</t>
  </si>
  <si>
    <t>Ldg. Perhentian Tinggi</t>
  </si>
  <si>
    <t>Seremban</t>
  </si>
  <si>
    <t>Sg. Gadut</t>
  </si>
  <si>
    <t>01/06</t>
  </si>
  <si>
    <t>Sg. Mongku di Senaling</t>
  </si>
  <si>
    <t>Kuala Pilah</t>
  </si>
  <si>
    <t>Sg. Mongku</t>
  </si>
  <si>
    <t>Muar</t>
  </si>
  <si>
    <t>Ibu Bekalan Kuala Pilah</t>
  </si>
  <si>
    <t>11/70</t>
  </si>
  <si>
    <t>Ldg. Johol</t>
  </si>
  <si>
    <t>Londah, Kg. Kubang</t>
  </si>
  <si>
    <t>07/57</t>
  </si>
  <si>
    <t>Ldg. Labu</t>
  </si>
  <si>
    <t>Setor JPS Sikamat Seremban</t>
  </si>
  <si>
    <t>Astana Hinggap di Seremban</t>
  </si>
  <si>
    <t>01/23</t>
  </si>
  <si>
    <t>Kg. Bahru Pantai</t>
  </si>
  <si>
    <t>Kg. Tg. Limau (Ulu Bendol)</t>
  </si>
  <si>
    <t>02/59</t>
  </si>
  <si>
    <t>Kg. Sawah Lebar</t>
  </si>
  <si>
    <t>07/70</t>
  </si>
  <si>
    <t>Sg.Kepis di Pejabat Felcra Site 1</t>
  </si>
  <si>
    <t>Sg. Kepis</t>
  </si>
  <si>
    <t>Pahang</t>
  </si>
  <si>
    <t>Hospital Kuala Pilah</t>
  </si>
  <si>
    <t>1896</t>
  </si>
  <si>
    <t>08/96</t>
  </si>
  <si>
    <t>Sg.Kepis At Ulu Sg.Lonek Site 4</t>
  </si>
  <si>
    <t>02/91</t>
  </si>
  <si>
    <t>Sg.Kepis di Masjid Site 2</t>
  </si>
  <si>
    <t>03/04</t>
  </si>
  <si>
    <t>Sg.Kepis di Taliair Jps.Site 3</t>
  </si>
  <si>
    <t>Sg.Kepis di Kg Lonek Site 4</t>
  </si>
  <si>
    <t>11/93</t>
  </si>
  <si>
    <t>Ldg. Juasseh</t>
  </si>
  <si>
    <t>09/16</t>
  </si>
  <si>
    <t>Ldg. Kuala Jelai</t>
  </si>
  <si>
    <t>Ldg. Jeram Padang</t>
  </si>
  <si>
    <t>01/30</t>
  </si>
  <si>
    <t>Ldg. New Rompin</t>
  </si>
  <si>
    <t>Ldg. Kelpin</t>
  </si>
  <si>
    <t>Jempol</t>
  </si>
  <si>
    <t>06/35</t>
  </si>
  <si>
    <t>Ldg. Cairo</t>
  </si>
  <si>
    <t>10/2000</t>
  </si>
  <si>
    <t>Ldg. Sg. Mahang</t>
  </si>
  <si>
    <t>01/93</t>
  </si>
  <si>
    <t>Ldg. Lenggeng</t>
  </si>
  <si>
    <t>05/29</t>
  </si>
  <si>
    <t>02/2001</t>
  </si>
  <si>
    <t>Bt. 8, Jalan Setul di Mantin</t>
  </si>
  <si>
    <t>JH</t>
  </si>
  <si>
    <t>Kg. Ulu Klawang</t>
  </si>
  <si>
    <t>Jelebu</t>
  </si>
  <si>
    <t>11/57</t>
  </si>
  <si>
    <t>Kerja Air Seremban</t>
  </si>
  <si>
    <t>Kg. Birah</t>
  </si>
  <si>
    <t>Kg. Ulu Serting</t>
  </si>
  <si>
    <t>SEK</t>
  </si>
  <si>
    <t>Ldg. Bahau</t>
  </si>
  <si>
    <t>11/26</t>
  </si>
  <si>
    <t>Ldg. Sg. Sabaling</t>
  </si>
  <si>
    <t>Sg. Sabaling</t>
  </si>
  <si>
    <t>5/48</t>
  </si>
  <si>
    <t>Petaling di Kuala Klawang</t>
  </si>
  <si>
    <t>Kg. Relai di Kg. Baharu</t>
  </si>
  <si>
    <t>SEK.</t>
  </si>
  <si>
    <t>Kg. Baharu Pertang</t>
  </si>
  <si>
    <t>10/58</t>
  </si>
  <si>
    <t>Ldg. Pertang</t>
  </si>
  <si>
    <t>10/13</t>
  </si>
  <si>
    <t>Serting Ulu</t>
  </si>
  <si>
    <t>Sg. Serting</t>
  </si>
  <si>
    <t>Kg. Chennah</t>
  </si>
  <si>
    <t>Felcra Purun</t>
  </si>
  <si>
    <t>11/78</t>
  </si>
  <si>
    <t>/85</t>
  </si>
  <si>
    <t>Sg. Lui Halt</t>
  </si>
  <si>
    <t>Sg.Lui</t>
  </si>
  <si>
    <t>09/59</t>
  </si>
  <si>
    <t>Simpang Durian Triang Ilir</t>
  </si>
  <si>
    <t>Ldg. Simpang Durian</t>
  </si>
  <si>
    <t>Kg. Sg. Buloh</t>
  </si>
  <si>
    <t>08/47</t>
  </si>
  <si>
    <t>Sg. Pukim</t>
  </si>
  <si>
    <t>Rompin</t>
  </si>
  <si>
    <t>Sg.Keratong</t>
  </si>
  <si>
    <t>01/80</t>
  </si>
  <si>
    <t>Ulu Sg.Anak Endau</t>
  </si>
  <si>
    <t>Sg. Anak Endau</t>
  </si>
  <si>
    <t>Endau</t>
  </si>
  <si>
    <t>10/77</t>
  </si>
  <si>
    <t>08/86</t>
  </si>
  <si>
    <t>Sg. Anak Endau Kg. Mok</t>
  </si>
  <si>
    <t>09/81</t>
  </si>
  <si>
    <t>Paya Sepayang</t>
  </si>
  <si>
    <t>Tutup</t>
  </si>
  <si>
    <t>05/64</t>
  </si>
  <si>
    <t>04/85</t>
  </si>
  <si>
    <t>Kastam Kuala Pontian</t>
  </si>
  <si>
    <t>04/48</t>
  </si>
  <si>
    <t>Kg. Gambir</t>
  </si>
  <si>
    <t>Pekan</t>
  </si>
  <si>
    <t>Sg. Keratong</t>
  </si>
  <si>
    <t>01/73</t>
  </si>
  <si>
    <t>Ulu Sg.Chanis</t>
  </si>
  <si>
    <t>Sg. Chanis</t>
  </si>
  <si>
    <t>09/83</t>
  </si>
  <si>
    <t>Kg. Kedaik</t>
  </si>
  <si>
    <t>Sg. Rompin</t>
  </si>
  <si>
    <t>Stn. Pertanian Rompin-Endau</t>
  </si>
  <si>
    <t>11/85</t>
  </si>
  <si>
    <t>S.K. Leban Chondong</t>
  </si>
  <si>
    <t>1960</t>
  </si>
  <si>
    <t>Rumah Rehat Lama Rompin</t>
  </si>
  <si>
    <t>04/60</t>
  </si>
  <si>
    <t>Takek,Pulau Tioman</t>
  </si>
  <si>
    <t>Pulau Tioman</t>
  </si>
  <si>
    <t>Mukut</t>
  </si>
  <si>
    <t>Kg.Mukut</t>
  </si>
  <si>
    <t>Dispensari Pulau Tioman</t>
  </si>
  <si>
    <t>05/48</t>
  </si>
  <si>
    <t>LDG.GLENDALE</t>
  </si>
  <si>
    <t>Sg.Pahang</t>
  </si>
  <si>
    <t>1975</t>
  </si>
  <si>
    <t>Ldg. Tabong Haji di Sg. Mengah</t>
  </si>
  <si>
    <t>Sg. mengah</t>
  </si>
  <si>
    <t>Pos Iskandar</t>
  </si>
  <si>
    <t>Bera</t>
  </si>
  <si>
    <t>Sg. Bera</t>
  </si>
  <si>
    <t>03/70</t>
  </si>
  <si>
    <t>Sg. Kepasing</t>
  </si>
  <si>
    <t>Sg. Kepsing</t>
  </si>
  <si>
    <t>11/76</t>
  </si>
  <si>
    <t>Pecah Batu Bkt. Raidan</t>
  </si>
  <si>
    <t>Sg. Aur</t>
  </si>
  <si>
    <t>Temeris</t>
  </si>
  <si>
    <t>Sg. Merchong</t>
  </si>
  <si>
    <t>Merchong</t>
  </si>
  <si>
    <t>Sek. Keb. Kg. Bebar</t>
  </si>
  <si>
    <t>Simpang Pelangai</t>
  </si>
  <si>
    <t>Bentong</t>
  </si>
  <si>
    <t>Sg. Teriang</t>
  </si>
  <si>
    <t>09/75</t>
  </si>
  <si>
    <t>Pelangi Kg. Jawi 2</t>
  </si>
  <si>
    <t>Ldg. Kemayan</t>
  </si>
  <si>
    <t>Termeloh</t>
  </si>
  <si>
    <t>07/50</t>
  </si>
  <si>
    <t>Stn. Hutan Kemayan</t>
  </si>
  <si>
    <t>Bkt. Ibam</t>
  </si>
  <si>
    <t>Sg. Jeram</t>
  </si>
  <si>
    <t>Dispensari Nenasi di Pekan</t>
  </si>
  <si>
    <t>Sg. Bebar</t>
  </si>
  <si>
    <t>Bebar</t>
  </si>
  <si>
    <t>12/47</t>
  </si>
  <si>
    <t>Telemong</t>
  </si>
  <si>
    <t>Sg.Temelong</t>
  </si>
  <si>
    <t>JKR Kg. Manchis</t>
  </si>
  <si>
    <t>Sg. Telemong</t>
  </si>
  <si>
    <t>03/64</t>
  </si>
  <si>
    <t>JKR Kg. Ponsoon</t>
  </si>
  <si>
    <t>12/24</t>
  </si>
  <si>
    <t>Ldg. Kemasul di Mengkarak</t>
  </si>
  <si>
    <t>Ldg. Triang</t>
  </si>
  <si>
    <t>01/62</t>
  </si>
  <si>
    <t>Jun-65</t>
  </si>
  <si>
    <t>Triang</t>
  </si>
  <si>
    <t>Sg.Triang</t>
  </si>
  <si>
    <t>Sg. Cabang Kanan</t>
  </si>
  <si>
    <t>Sg. Cabang</t>
  </si>
  <si>
    <t>Kg. Bangkong (Tutup)</t>
  </si>
  <si>
    <t>00/81</t>
  </si>
  <si>
    <t>Kg. Unchang</t>
  </si>
  <si>
    <t>Kg. Tering di Tanjung Batu</t>
  </si>
  <si>
    <t>11/60</t>
  </si>
  <si>
    <t>Jabatan Perikanan, Bkt. Tinggi</t>
  </si>
  <si>
    <t>Sg. Bentong</t>
  </si>
  <si>
    <t>10/65</t>
  </si>
  <si>
    <t>Janda Baik</t>
  </si>
  <si>
    <t>Ldg. Sabai, Bentong</t>
  </si>
  <si>
    <t>Kg. Tebing Tinggi di Lebak</t>
  </si>
  <si>
    <t>Sg. Semantan</t>
  </si>
  <si>
    <t>Ladang Karmen</t>
  </si>
  <si>
    <t>Sg. Pahang</t>
  </si>
  <si>
    <t>Kg. Batu Cek Mek</t>
  </si>
  <si>
    <t>01/61</t>
  </si>
  <si>
    <t>Kg. Kuala Bera</t>
  </si>
  <si>
    <t>Kampong Batu Gong</t>
  </si>
  <si>
    <t>Sg. Mentiga</t>
  </si>
  <si>
    <t>02/73</t>
  </si>
  <si>
    <t>Kg. Bahru, Bt.9, Jln. Nenasi</t>
  </si>
  <si>
    <t>Ldg. Bukit Dinding di Bentong</t>
  </si>
  <si>
    <t>Kg. Lengkong</t>
  </si>
  <si>
    <t>Temerloh</t>
  </si>
  <si>
    <t>Sg.Semantan</t>
  </si>
  <si>
    <t>Ldg. Sg. Kawang</t>
  </si>
  <si>
    <t>JKR Lanchang</t>
  </si>
  <si>
    <t>01/25</t>
  </si>
  <si>
    <t>JKR Mentakab</t>
  </si>
  <si>
    <t>Jkr</t>
  </si>
  <si>
    <t>JPS Temerloh</t>
  </si>
  <si>
    <t>Temerloh (Lubuk Pasu)</t>
  </si>
  <si>
    <t>Est. Kg. Awah</t>
  </si>
  <si>
    <t>06/50</t>
  </si>
  <si>
    <t>Kg. Chenor S.M.R.K.</t>
  </si>
  <si>
    <t>Kg. Salong</t>
  </si>
  <si>
    <t>Paya Membang</t>
  </si>
  <si>
    <t>Kg. Serambi</t>
  </si>
  <si>
    <t>Paloh Inai (Serambi)</t>
  </si>
  <si>
    <t>Permatang Pauh</t>
  </si>
  <si>
    <t>09/68</t>
  </si>
  <si>
    <t>Empangan Repas</t>
  </si>
  <si>
    <t>Raub</t>
  </si>
  <si>
    <t>Kuala Marong di Bentong</t>
  </si>
  <si>
    <t>10/01</t>
  </si>
  <si>
    <t>Kem Batu Lima, Mentakab (Tutup)</t>
  </si>
  <si>
    <t>Petak Ujian Padi di Kerdau</t>
  </si>
  <si>
    <t>02/48</t>
  </si>
  <si>
    <t>Ldg. Mentakab</t>
  </si>
  <si>
    <t>04/20</t>
  </si>
  <si>
    <t>Kg. Tebing Tinggi, Sanggang</t>
  </si>
  <si>
    <t>Lubok Paku</t>
  </si>
  <si>
    <t>Jkr. Maran</t>
  </si>
  <si>
    <t>Maran</t>
  </si>
  <si>
    <t>Sg. Jempol</t>
  </si>
  <si>
    <t>Kg. Temai Hilir</t>
  </si>
  <si>
    <t>Rumah Pam Pahang Tua di Pekan</t>
  </si>
  <si>
    <t>Kastam Kuala Pahang</t>
  </si>
  <si>
    <t>Balai Polis Sang Lee (Tutup)</t>
  </si>
  <si>
    <t>Sg. Bilut</t>
  </si>
  <si>
    <t>Lipis</t>
  </si>
  <si>
    <t>05/76</t>
  </si>
  <si>
    <t>Ldg. Sg. Tekal</t>
  </si>
  <si>
    <t>Jerantut</t>
  </si>
  <si>
    <t>Sg. Tekai</t>
  </si>
  <si>
    <t>Sek. Keb. Kuala Sentul</t>
  </si>
  <si>
    <t>Pintu Kawalan Paya Kertam</t>
  </si>
  <si>
    <t>Sg. Luit</t>
  </si>
  <si>
    <t>06/75</t>
  </si>
  <si>
    <t>JKR Sg. Kertam (Tutup)</t>
  </si>
  <si>
    <t>Sg. Kertam</t>
  </si>
  <si>
    <t>04/67</t>
  </si>
  <si>
    <t>Kg. New Zealand (Tutup)</t>
  </si>
  <si>
    <t>05/73</t>
  </si>
  <si>
    <t>Paya Bungor</t>
  </si>
  <si>
    <t>Kuantan</t>
  </si>
  <si>
    <t>Sg. Lepar</t>
  </si>
  <si>
    <t>05/32</t>
  </si>
  <si>
    <t>Kg. Pulau Manis</t>
  </si>
  <si>
    <t>Sg. Belat</t>
  </si>
  <si>
    <t>02/74</t>
  </si>
  <si>
    <t>Ldg. Tavy (Tutup)</t>
  </si>
  <si>
    <t>Kg. Bahru, Penor</t>
  </si>
  <si>
    <t>Sg. PeFALSEr</t>
  </si>
  <si>
    <t>PeFALSEr</t>
  </si>
  <si>
    <t>Bukit Peninjau</t>
  </si>
  <si>
    <t>Sg. Sempam</t>
  </si>
  <si>
    <t>10/75</t>
  </si>
  <si>
    <t>Bkt. Fraser (Tutup)</t>
  </si>
  <si>
    <t>12/21</t>
  </si>
  <si>
    <t>LLN Sempan</t>
  </si>
  <si>
    <t>JKR Tranum</t>
  </si>
  <si>
    <t>09/24</t>
  </si>
  <si>
    <t>Kuala Krau</t>
  </si>
  <si>
    <t>Sg. Jerik</t>
  </si>
  <si>
    <t>JKR Jempol</t>
  </si>
  <si>
    <t>JKR Gambang</t>
  </si>
  <si>
    <t>Stn. Kajicuaca Kuantan (Tutup)</t>
  </si>
  <si>
    <t>Close</t>
  </si>
  <si>
    <t>Paya Besar di Kuantan</t>
  </si>
  <si>
    <t>Kg. Sg. Soi</t>
  </si>
  <si>
    <t>Sg. Soi</t>
  </si>
  <si>
    <t>Stor JPS Raub</t>
  </si>
  <si>
    <t>Sg. Lipis</t>
  </si>
  <si>
    <t>1899</t>
  </si>
  <si>
    <t>Lombong Emas Australia, Bkt. Koman</t>
  </si>
  <si>
    <t>07/76</t>
  </si>
  <si>
    <t>Kg. Sg. Pasu</t>
  </si>
  <si>
    <t>Sg. Pasu</t>
  </si>
  <si>
    <t>Ulu Gali, Raub</t>
  </si>
  <si>
    <t>Sg. Temir</t>
  </si>
  <si>
    <t>Ldg. Sg. Mei</t>
  </si>
  <si>
    <t>Sg. Mei</t>
  </si>
  <si>
    <t>Paya Gintong di Jerantut</t>
  </si>
  <si>
    <t>Sek. Keb. Kelola</t>
  </si>
  <si>
    <t>Lembangan Ujian Sg. Tekam 1</t>
  </si>
  <si>
    <t>Sg. Tekam</t>
  </si>
  <si>
    <t>Ldg. Ulu Lepar</t>
  </si>
  <si>
    <t>Pasir Kemudi</t>
  </si>
  <si>
    <t>Sg.Kuantan</t>
  </si>
  <si>
    <t>Rancangan Pam Paya Pinang</t>
  </si>
  <si>
    <t>Sg. Kuantan</t>
  </si>
  <si>
    <t>Atabara Sg. Talam di Kuantan</t>
  </si>
  <si>
    <t>Sg. Talam</t>
  </si>
  <si>
    <t>Pejabat JPS Negeri Pahang</t>
  </si>
  <si>
    <t>Kuantan (KOMTUR)</t>
  </si>
  <si>
    <t>Ldg. Jeram di Kuantan</t>
  </si>
  <si>
    <t>Sg. Karang</t>
  </si>
  <si>
    <t>Kg. Karang</t>
  </si>
  <si>
    <t>07/30</t>
  </si>
  <si>
    <t>Ldg. Lian Hup (Tutup)</t>
  </si>
  <si>
    <t>01/35</t>
  </si>
  <si>
    <t>Hospital Umum Kuantan</t>
  </si>
  <si>
    <t>1898</t>
  </si>
  <si>
    <t>12/58</t>
  </si>
  <si>
    <t>Batu Talam di Raub</t>
  </si>
  <si>
    <t>12/46</t>
  </si>
  <si>
    <t>Kg. Cheroh</t>
  </si>
  <si>
    <t>Kg. Dong di Raub</t>
  </si>
  <si>
    <t>08/24</t>
  </si>
  <si>
    <t>JKR Jeruas</t>
  </si>
  <si>
    <t>03/25</t>
  </si>
  <si>
    <t>Ulu Dong di Raub</t>
  </si>
  <si>
    <t>JKR Batu Balai</t>
  </si>
  <si>
    <t>Kg. Bharu di Jerantut</t>
  </si>
  <si>
    <t>06/24</t>
  </si>
  <si>
    <t>JKR Jerantut</t>
  </si>
  <si>
    <t>Peri Jerantut</t>
  </si>
  <si>
    <t>02/25</t>
  </si>
  <si>
    <t>Rumah Pam Paya Kangsar</t>
  </si>
  <si>
    <t>11/50</t>
  </si>
  <si>
    <t>Lembangan Ujian Sg. Tekam 2</t>
  </si>
  <si>
    <t>Lembangan Ujian Sg. Tekam 3</t>
  </si>
  <si>
    <t>Lembangan Ujian Sg. Tekam 4</t>
  </si>
  <si>
    <t>Lembangan Ujian Sg. Tekam 5</t>
  </si>
  <si>
    <t>Sg. Lembing P.C.C.L Mill</t>
  </si>
  <si>
    <t>Sg. Lembing</t>
  </si>
  <si>
    <t>Bukit Kenau</t>
  </si>
  <si>
    <t>Ldg. Nada</t>
  </si>
  <si>
    <t>Ldg. Kuala Reman</t>
  </si>
  <si>
    <t>03/27</t>
  </si>
  <si>
    <t>Balok di Kuantan</t>
  </si>
  <si>
    <t>JKR Benta</t>
  </si>
  <si>
    <t>01/75</t>
  </si>
  <si>
    <t>Ulu Atok</t>
  </si>
  <si>
    <t>Sg. Jelai</t>
  </si>
  <si>
    <t>07/24</t>
  </si>
  <si>
    <t>Ldg. Benta</t>
  </si>
  <si>
    <t>10/27</t>
  </si>
  <si>
    <t>Paya Tampin</t>
  </si>
  <si>
    <t>08/65</t>
  </si>
  <si>
    <t>Ldg. Budu, Raub</t>
  </si>
  <si>
    <t>02/29</t>
  </si>
  <si>
    <t>08/66</t>
  </si>
  <si>
    <t>Bt. 12 Jln. Benta-Kuantan</t>
  </si>
  <si>
    <t>07/61</t>
  </si>
  <si>
    <t>Kg. Sg. Yap</t>
  </si>
  <si>
    <t>11/73</t>
  </si>
  <si>
    <t>Sek. Keb. Kg.Tembeling</t>
  </si>
  <si>
    <t>Sg. Tembeling</t>
  </si>
  <si>
    <t>Kg. Cherating</t>
  </si>
  <si>
    <t>Sg. Ular</t>
  </si>
  <si>
    <t>Kg. Ular</t>
  </si>
  <si>
    <t>Kg. Sg. Ular</t>
  </si>
  <si>
    <t>Hospital Kuala Lipis</t>
  </si>
  <si>
    <t>Stn. Keretapi Krambit</t>
  </si>
  <si>
    <t>Kg. Chebong</t>
  </si>
  <si>
    <t>Kawasan (B) Ulu Tekai</t>
  </si>
  <si>
    <t>Kawasan 'C' Ulu Tekai</t>
  </si>
  <si>
    <t>Kuala Medang</t>
  </si>
  <si>
    <t>Paya Tepuai</t>
  </si>
  <si>
    <t>Bukit Betong</t>
  </si>
  <si>
    <t>Kg. Telang</t>
  </si>
  <si>
    <t>04/62</t>
  </si>
  <si>
    <t>Kg. Merting</t>
  </si>
  <si>
    <t>Ulu Tekai (A)</t>
  </si>
  <si>
    <t>Sek. Keb. Kg. Aur Gading</t>
  </si>
  <si>
    <t>Sg. Tenum</t>
  </si>
  <si>
    <t>Kg. Bandar di Ulu Kechau</t>
  </si>
  <si>
    <t>Sg. Kechau</t>
  </si>
  <si>
    <t>Kuala Tahan</t>
  </si>
  <si>
    <t>Kuala Tahan di Taman Negara</t>
  </si>
  <si>
    <t>06/48</t>
  </si>
  <si>
    <t>Jalan Quarry, Brinching</t>
  </si>
  <si>
    <t>C/Highlands</t>
  </si>
  <si>
    <t>Sg. Bertam</t>
  </si>
  <si>
    <t>Stn. Kajicuaca C.Highlands</t>
  </si>
  <si>
    <t>C/Highlan ds</t>
  </si>
  <si>
    <t>Ldg. Folly Ringlet, Cameron Highlands</t>
  </si>
  <si>
    <t>05/27</t>
  </si>
  <si>
    <t>1973</t>
  </si>
  <si>
    <t>Ldg. Boh (Kawasan Kilang)</t>
  </si>
  <si>
    <t>11/47</t>
  </si>
  <si>
    <t>Ldg. Boh (Bhg. Boh)</t>
  </si>
  <si>
    <t>Ldg. Boh (Bhg. Selatan)</t>
  </si>
  <si>
    <t>Mardi C Highlands</t>
  </si>
  <si>
    <t>Stn. Keretapi Chegar Perah</t>
  </si>
  <si>
    <t>05/62</t>
  </si>
  <si>
    <t>Sek. Keb. Kg. Pagi</t>
  </si>
  <si>
    <t>Ulu Tembeling, Balai Penghulu</t>
  </si>
  <si>
    <t>11/62</t>
  </si>
  <si>
    <t>Gunung Brinchang di C.Highlands</t>
  </si>
  <si>
    <t>Sg. Palas</t>
  </si>
  <si>
    <t>05/54</t>
  </si>
  <si>
    <t>Ldg. Teh Blue Valley</t>
  </si>
  <si>
    <t>Ldg .Teh Sg. Palas di Cameron Highlands</t>
  </si>
  <si>
    <t>04/64</t>
  </si>
  <si>
    <t>Sungai Ikan, C Highlands</t>
  </si>
  <si>
    <t>Sg.Ikan</t>
  </si>
  <si>
    <t>Paya Paloh</t>
  </si>
  <si>
    <t>09/46</t>
  </si>
  <si>
    <t>Merapoh</t>
  </si>
  <si>
    <t>1996</t>
  </si>
  <si>
    <t>Kuala Sanglang</t>
  </si>
  <si>
    <t>Kg. Behor Lateh</t>
  </si>
  <si>
    <t>Kangar</t>
  </si>
  <si>
    <t>Sg.Perlis</t>
  </si>
  <si>
    <t>Seriap ( Tutup )</t>
  </si>
  <si>
    <t>05/79</t>
  </si>
  <si>
    <t>Simpang Empat</t>
  </si>
  <si>
    <t>Changkat Jawi</t>
  </si>
  <si>
    <t>Kuala Perlis</t>
  </si>
  <si>
    <t>Kg. Behor, Kangar  ( Tutup )</t>
  </si>
  <si>
    <t>Padang Katong di Kangar</t>
  </si>
  <si>
    <t>Stor Jps. Kangar ( Tutup )</t>
  </si>
  <si>
    <t>Guar Nangka</t>
  </si>
  <si>
    <t>Arau</t>
  </si>
  <si>
    <t>Ngolang</t>
  </si>
  <si>
    <t>06/82</t>
  </si>
  <si>
    <t>Kuala Tunggang</t>
  </si>
  <si>
    <t>Sg.Arau</t>
  </si>
  <si>
    <t>Ulu Pauh</t>
  </si>
  <si>
    <t>Abi ( Tutup )</t>
  </si>
  <si>
    <t>07/69</t>
  </si>
  <si>
    <t>Abi Kg. Bahru</t>
  </si>
  <si>
    <t>Ldg. Perlis Utara ( Tutup )</t>
  </si>
  <si>
    <t>06/80</t>
  </si>
  <si>
    <t>Tasoh</t>
  </si>
  <si>
    <t>Bukit Temiang</t>
  </si>
  <si>
    <t>Timah Tasoh Dam</t>
  </si>
  <si>
    <t>Emp Timah Tasoh</t>
  </si>
  <si>
    <t>Ldg. Perlis Selatan</t>
  </si>
  <si>
    <t>Wang Kelian</t>
  </si>
  <si>
    <t>Kaki Bukit</t>
  </si>
  <si>
    <t>Sg.Pelarit</t>
  </si>
  <si>
    <t>Sg.Pelarit dI Kaki Bukit</t>
  </si>
  <si>
    <t>Sg.Jarum di Kg. Masjid</t>
  </si>
  <si>
    <t>Sg.Jarum</t>
  </si>
  <si>
    <t>Lubok Sireh</t>
  </si>
  <si>
    <t>Padang Besar  ( Tutup )</t>
  </si>
  <si>
    <t>Padang Besar di Titi Keretapi</t>
  </si>
  <si>
    <t>Kolam Takongan Bkt. Panchor</t>
  </si>
  <si>
    <t>Pulau Pinang</t>
  </si>
  <si>
    <t>Sbg. Perai Selatan</t>
  </si>
  <si>
    <t>Sg. Kecil</t>
  </si>
  <si>
    <t>Stn. Kajicuaca Bayan Lepas</t>
  </si>
  <si>
    <t>Daerah Barat Daya</t>
  </si>
  <si>
    <t>Sg. Bayan Lepas</t>
  </si>
  <si>
    <t>Sg. Simpang Ampat</t>
  </si>
  <si>
    <t>Sg. Macang Bubuk/Sg. Junjung</t>
  </si>
  <si>
    <t>Sg. Jawi</t>
  </si>
  <si>
    <t>Ldg. Batu Kawan</t>
  </si>
  <si>
    <t>Sekolah Kebangsaan Sg. Bakap</t>
  </si>
  <si>
    <t>Sg. Bakap</t>
  </si>
  <si>
    <t>07/08</t>
  </si>
  <si>
    <t>Bagan Buaya</t>
  </si>
  <si>
    <t>Taliair Besar Sg. Pinang</t>
  </si>
  <si>
    <t>Sg. Pinang</t>
  </si>
  <si>
    <t>Pintu Air Bagan di Air Itam</t>
  </si>
  <si>
    <t>Sg. Bgn. Air Itam</t>
  </si>
  <si>
    <t>Sg. Bagan Air Itam</t>
  </si>
  <si>
    <t>Kolam Takongan Air Itam</t>
  </si>
  <si>
    <t>Daerah Timur Laut</t>
  </si>
  <si>
    <t>Sg. Air Itam</t>
  </si>
  <si>
    <t>08/75</t>
  </si>
  <si>
    <t>Kolam Takungan Sg. Dondang</t>
  </si>
  <si>
    <t>Timur Laut</t>
  </si>
  <si>
    <t>Sg. Dondang</t>
  </si>
  <si>
    <t>Rumah Kebajikan</t>
  </si>
  <si>
    <t>06/96</t>
  </si>
  <si>
    <t>Komplek Prai</t>
  </si>
  <si>
    <t>Sbg. Perai Tengah</t>
  </si>
  <si>
    <t>Seberang Prai TengaSg. Juru</t>
  </si>
  <si>
    <t>Sungai Juru</t>
  </si>
  <si>
    <t>Kesihatan Bukit Berapit</t>
  </si>
  <si>
    <t>Sg. Ptg Rawa/Sg. Rambai</t>
  </si>
  <si>
    <t>Sg. Juru</t>
  </si>
  <si>
    <t>Permatang Rawa</t>
  </si>
  <si>
    <t>Sg. Rambai</t>
  </si>
  <si>
    <t>04/53</t>
  </si>
  <si>
    <t>Pusat Pertanian Cherok To' Kun</t>
  </si>
  <si>
    <t>Sg. Kilang Ubi/Sg. Rambai</t>
  </si>
  <si>
    <t>Klinik Bkt. Bendera</t>
  </si>
  <si>
    <t>Sg. Air Terjun</t>
  </si>
  <si>
    <t>Kolam Bersih Pulau Pinang</t>
  </si>
  <si>
    <t>Stn. Pertanian Air Itam</t>
  </si>
  <si>
    <t>4/73</t>
  </si>
  <si>
    <t>Lorong Batu Lanchang</t>
  </si>
  <si>
    <t>07/96</t>
  </si>
  <si>
    <t>Stn. Kajicuaca Butterworth</t>
  </si>
  <si>
    <t>Sbg. Perai Utara</t>
  </si>
  <si>
    <t>01/55</t>
  </si>
  <si>
    <t>Sungai Pinang</t>
  </si>
  <si>
    <t>Ldg. Malakoff</t>
  </si>
  <si>
    <t>Sg. Kreh</t>
  </si>
  <si>
    <t>Ibu Bekalan Sg. Kulim</t>
  </si>
  <si>
    <t>Sbg. Perai Timur</t>
  </si>
  <si>
    <t>Sg. Kulim</t>
  </si>
  <si>
    <t>Stn. Petak Ujian Bukit Merah</t>
  </si>
  <si>
    <t>Sungai Kulim @ Ara Kuda</t>
  </si>
  <si>
    <t>Seberang Prai TengaSg. Kulim</t>
  </si>
  <si>
    <t>Sungai Perai</t>
  </si>
  <si>
    <t>Permatang Bendahari</t>
  </si>
  <si>
    <t>06/49</t>
  </si>
  <si>
    <t>Permatang Binjai</t>
  </si>
  <si>
    <t>Sg. Selarong/Sg. Abdul</t>
  </si>
  <si>
    <t>Rumah Pam Bumbong Lima</t>
  </si>
  <si>
    <t>Permatang Sintok</t>
  </si>
  <si>
    <t>12/57</t>
  </si>
  <si>
    <t>Lahar Ikan Mati di Kepala Batas</t>
  </si>
  <si>
    <t>Sg. Lahar Ending</t>
  </si>
  <si>
    <t>02/49</t>
  </si>
  <si>
    <t>Rumah Pam Bumbung Lima</t>
  </si>
  <si>
    <t>Seberang Prai  Utara</t>
  </si>
  <si>
    <t>Sg. Muda @ Ladang Victoria</t>
  </si>
  <si>
    <t>Seberang Prai Utara</t>
  </si>
  <si>
    <t>Rumah Pam Pinang Tunggal</t>
  </si>
  <si>
    <t>S/Perai Utara</t>
  </si>
  <si>
    <t>1887</t>
  </si>
  <si>
    <t>Kuala Lumpur</t>
  </si>
  <si>
    <t>1965</t>
  </si>
  <si>
    <t>1953</t>
  </si>
  <si>
    <t>2005</t>
  </si>
  <si>
    <t>1893</t>
  </si>
  <si>
    <t>Hulu Jabor di Kemaman</t>
  </si>
  <si>
    <t>Terengganu</t>
  </si>
  <si>
    <t>Kemaman</t>
  </si>
  <si>
    <t>Sg. Kemaman</t>
  </si>
  <si>
    <t>Sg. Jabor</t>
  </si>
  <si>
    <t>03/84</t>
  </si>
  <si>
    <t>0</t>
  </si>
  <si>
    <t>Kg. Ban Ho</t>
  </si>
  <si>
    <t>Sg. Cerul</t>
  </si>
  <si>
    <t>Ibu Bekalan Air Putih</t>
  </si>
  <si>
    <t>20.5</t>
  </si>
  <si>
    <t>Pekan Air Putih</t>
  </si>
  <si>
    <t>1985</t>
  </si>
  <si>
    <t>Jambatan Air Putih</t>
  </si>
  <si>
    <t>Sek. Keb. Pasir Gajah</t>
  </si>
  <si>
    <t>JPS Kemaman</t>
  </si>
  <si>
    <t>Chukai</t>
  </si>
  <si>
    <t>07/43</t>
  </si>
  <si>
    <t>Jambatan Tebak</t>
  </si>
  <si>
    <t>Sg. Tebak</t>
  </si>
  <si>
    <t>Seri Bandi</t>
  </si>
  <si>
    <t>Klinik Bidan di Kg. Ibok</t>
  </si>
  <si>
    <t>03/57</t>
  </si>
  <si>
    <t>K</t>
  </si>
  <si>
    <t>Sek. Keb. Kijal</t>
  </si>
  <si>
    <t>Sek. Men. Keb. Badrul Alam Shah</t>
  </si>
  <si>
    <t>Kerteh</t>
  </si>
  <si>
    <t>Rumah Pam Paya Kempian, Pasir Raja</t>
  </si>
  <si>
    <t>Dungun</t>
  </si>
  <si>
    <t>Sek. Keb. Pasir Raja Hulu Dungun  (Tutup )</t>
  </si>
  <si>
    <t>Sg. Dungun</t>
  </si>
  <si>
    <t>Rasau Kerteh ( Tutup )</t>
  </si>
  <si>
    <t>Sg. Kerteh</t>
  </si>
  <si>
    <t>Jambatan Penarik</t>
  </si>
  <si>
    <t>Setiu</t>
  </si>
  <si>
    <t>Sg. Chalok</t>
  </si>
  <si>
    <t>Sg. Setiu</t>
  </si>
  <si>
    <t>Bandar Al Muktafi Billah Shah</t>
  </si>
  <si>
    <t>Paka</t>
  </si>
  <si>
    <t>Pusat Kesihatan Paka</t>
  </si>
  <si>
    <t>Kg. Surau di Kuala Jengai</t>
  </si>
  <si>
    <t>Sek. Keb. Bkt. Besi, Ulu Dungun</t>
  </si>
  <si>
    <t>Kg. Lubok Che Long, Ulu Paka</t>
  </si>
  <si>
    <t>Sg. Paka</t>
  </si>
  <si>
    <t>Sek. Men. Sultan Omar di  Dungun</t>
  </si>
  <si>
    <t>Jambatan Jerangau</t>
  </si>
  <si>
    <t>Sek. Kebangsan Jerangau</t>
  </si>
  <si>
    <t>Rumah Pam Delong, Dungun</t>
  </si>
  <si>
    <t>Klinik Bidan di Kuala Abang</t>
  </si>
  <si>
    <t>10/66</t>
  </si>
  <si>
    <t>Sek. Keb. Kuala Abang</t>
  </si>
  <si>
    <t>Kg.Embong Sekayu di Ulu Terengganu</t>
  </si>
  <si>
    <t>Hulu Terengganu</t>
  </si>
  <si>
    <t>Klinik Kg. Menerong</t>
  </si>
  <si>
    <t>Hulu Trengganu</t>
  </si>
  <si>
    <t>Sg. Brang</t>
  </si>
  <si>
    <t>Trengganu</t>
  </si>
  <si>
    <t>Kg. Menerong</t>
  </si>
  <si>
    <t>Sg. Berang</t>
  </si>
  <si>
    <t>Ldg. Koko Jerangau</t>
  </si>
  <si>
    <t>06/51</t>
  </si>
  <si>
    <t>Stn. Penyelidikan Jerangau</t>
  </si>
  <si>
    <t>00/80</t>
  </si>
  <si>
    <t>Felda Jerangau</t>
  </si>
  <si>
    <t>Klinik Bidan di Jambu Bongkok pindah ke Sek Men Keb Jambu Bongkok</t>
  </si>
  <si>
    <t>Marang</t>
  </si>
  <si>
    <t>Sek. Keb. Jambu Bongkok</t>
  </si>
  <si>
    <t>Sg. Marang</t>
  </si>
  <si>
    <t>Sg. Galong ( Tutup )</t>
  </si>
  <si>
    <t>Sg. Galong</t>
  </si>
  <si>
    <t>Pasir Berching, Ulu Terengganu</t>
  </si>
  <si>
    <t>Sg. Trengganu</t>
  </si>
  <si>
    <t>Kg. Dura</t>
  </si>
  <si>
    <t>Sg. Terengganu</t>
  </si>
  <si>
    <t>Sek. Keb. Kg. Dusun di K. Brang</t>
  </si>
  <si>
    <t>Rumah Pam Paya Kemat</t>
  </si>
  <si>
    <t>Jamb. Pengkalan Berangan</t>
  </si>
  <si>
    <t>Sg. Maran</t>
  </si>
  <si>
    <t>Kg. Bkt.Diman Ulu Terengganu</t>
  </si>
  <si>
    <t>Alor Temesu, Tok Fakil, Merchang</t>
  </si>
  <si>
    <t>06/53</t>
  </si>
  <si>
    <t>Sg. Gawi</t>
  </si>
  <si>
    <t>Rumah Pam Paya Rapat</t>
  </si>
  <si>
    <t>Empangan Kenyir</t>
  </si>
  <si>
    <t>Hulu Terenggan</t>
  </si>
  <si>
    <t>uSg. Berang</t>
  </si>
  <si>
    <t>Stn. Pertanian Ajil</t>
  </si>
  <si>
    <t>Sek. Men. Bkt. Sawa</t>
  </si>
  <si>
    <t>Cheneh ( Tutup )</t>
  </si>
  <si>
    <t>02/79</t>
  </si>
  <si>
    <t>Sg. Petuang Ulu Sg. Terengganu</t>
  </si>
  <si>
    <t>Sg. Petuang</t>
  </si>
  <si>
    <t>Sek. Keb. Kuala Telemong</t>
  </si>
  <si>
    <t>Rumah Pam Pulau Musang</t>
  </si>
  <si>
    <t>Kuala Terengganu</t>
  </si>
  <si>
    <t>04/55</t>
  </si>
  <si>
    <t>Sek. Keb. Marang (pindah ke Sek. Men. Tg. Lela Segara)  Pindah ke Star Kanan</t>
  </si>
  <si>
    <t>Sek. Keb. Kg. Sg. Tong</t>
  </si>
  <si>
    <t>Sg. Nerus</t>
  </si>
  <si>
    <t>Bkt. Durian di Chalok-Site 3</t>
  </si>
  <si>
    <t>01/78</t>
  </si>
  <si>
    <t>Kg. Bkt. Berangan di Setiu</t>
  </si>
  <si>
    <t>Kg. Sg. Tong</t>
  </si>
  <si>
    <t>Sek. Keb. Kg. Gemuroh</t>
  </si>
  <si>
    <t>Stn. Kajicuaca Kuala Terengganu</t>
  </si>
  <si>
    <t>Kuala Trengganu</t>
  </si>
  <si>
    <t>Setor JPS Kuala Terengganu</t>
  </si>
  <si>
    <t>Kg. Keruak di Ulu Besut (Sek. Keb. Keruak)</t>
  </si>
  <si>
    <t>Besut</t>
  </si>
  <si>
    <t>Sg. Besut</t>
  </si>
  <si>
    <t>Kg.Hulu Seladang, Setiu</t>
  </si>
  <si>
    <t>Kampung Besut</t>
  </si>
  <si>
    <t>Kg. Batu Hampar di Chalok Site 1</t>
  </si>
  <si>
    <t>Chalok</t>
  </si>
  <si>
    <t>Klinik Chalok Barat Site 2</t>
  </si>
  <si>
    <t>Jambatan Chalok</t>
  </si>
  <si>
    <t>Sek. Keb. Kg. Rahmat</t>
  </si>
  <si>
    <t>Kg. Padang Maras di Kuala Terengganu</t>
  </si>
  <si>
    <t>Kg. La</t>
  </si>
  <si>
    <t>10/86</t>
  </si>
  <si>
    <t>Sek. Keb. Panchor</t>
  </si>
  <si>
    <t>Sg.Besut</t>
  </si>
  <si>
    <t>Sek. Keb. Panchor, Ulu Besut</t>
  </si>
  <si>
    <t>Dekat Sek. Keb. Guntong Luar</t>
  </si>
  <si>
    <t>07/81</t>
  </si>
  <si>
    <t>Guntong Gong Serai Bt. 46</t>
  </si>
  <si>
    <t>06/81</t>
  </si>
  <si>
    <t>Dekat Sek. Keb. Kg. Buloh</t>
  </si>
  <si>
    <t>Ibu Bekalan Setiu- digantikan Stesen Kg Banggol</t>
  </si>
  <si>
    <t>Kg. Merang</t>
  </si>
  <si>
    <t>Empangan Jajar</t>
  </si>
  <si>
    <t>05/92</t>
  </si>
  <si>
    <t>Pasir Raja</t>
  </si>
  <si>
    <t>Ibu Bekalan Sg. Angga, Ulu Besut</t>
  </si>
  <si>
    <t>Sg. Angga</t>
  </si>
  <si>
    <t>12/50</t>
  </si>
  <si>
    <t>Sek. Keb. Pasir Akar</t>
  </si>
  <si>
    <t>04/92</t>
  </si>
  <si>
    <t>Sek. Keb. Kg. Jabi</t>
  </si>
  <si>
    <t>Institut Pertanian Besut</t>
  </si>
  <si>
    <t>09/84</t>
  </si>
  <si>
    <t>Sek. Keb. Tok Dor di Besut</t>
  </si>
  <si>
    <t>Jambatan Jertih</t>
  </si>
  <si>
    <t>Rumah Merinyu Taliair Jerteh</t>
  </si>
  <si>
    <t>01/40</t>
  </si>
  <si>
    <t>Sek. Keb. Kg. Tembila di Besut</t>
  </si>
  <si>
    <t>Ldg. Getah Kukup, Pontian</t>
  </si>
  <si>
    <t>Johor</t>
  </si>
  <si>
    <t>Pontian</t>
  </si>
  <si>
    <t>Pt.Mesjid</t>
  </si>
  <si>
    <t>Pontian Kecil</t>
  </si>
  <si>
    <t>2.4</t>
  </si>
  <si>
    <t>Hospital Umum, Pontian</t>
  </si>
  <si>
    <t>Johor Bahru</t>
  </si>
  <si>
    <t>03/76</t>
  </si>
  <si>
    <t>Stor JPS Johor Bahru</t>
  </si>
  <si>
    <t>Sg.Cat</t>
  </si>
  <si>
    <t>Cat</t>
  </si>
  <si>
    <t>Sedc Pasir Gudang</t>
  </si>
  <si>
    <t>1/95</t>
  </si>
  <si>
    <t>5</t>
  </si>
  <si>
    <t>01/95</t>
  </si>
  <si>
    <t>Ldg. Sg. Buloh, Johor Bahru</t>
  </si>
  <si>
    <t>07/31</t>
  </si>
  <si>
    <t>Kota Tinggi</t>
  </si>
  <si>
    <t>Sg.Lebam</t>
  </si>
  <si>
    <t>Desaru, Penggarang</t>
  </si>
  <si>
    <t>Pontian Kechik</t>
  </si>
  <si>
    <t>Kej.</t>
  </si>
  <si>
    <t>Komplek Perumahan Pontian</t>
  </si>
  <si>
    <t>Pt Masjid</t>
  </si>
  <si>
    <t>Pusat Kemajuan Per. Pekan Nanas</t>
  </si>
  <si>
    <t>Sg.Pulai</t>
  </si>
  <si>
    <t>Stn.Penyelidikan Nenas Pontian</t>
  </si>
  <si>
    <t>Sg.Pontian Besar</t>
  </si>
  <si>
    <t>Pontian Besar</t>
  </si>
  <si>
    <t>12/81</t>
  </si>
  <si>
    <t>Ibu Bekalan JKR Pontian Besar</t>
  </si>
  <si>
    <t>02/88</t>
  </si>
  <si>
    <t>Ldg. Gunung Pulai di Johor Bahru</t>
  </si>
  <si>
    <t>Sg. Pulai</t>
  </si>
  <si>
    <t>Balai Bomba, Pekan Nenas</t>
  </si>
  <si>
    <t>Ldg. Senai di Senai</t>
  </si>
  <si>
    <t>Sg. Skudai</t>
  </si>
  <si>
    <t>Skudai</t>
  </si>
  <si>
    <t>Ldg. Buan Heng, Skudai</t>
  </si>
  <si>
    <t>Sg.Tebrau</t>
  </si>
  <si>
    <t>Tebrau</t>
  </si>
  <si>
    <t>Ldg. Tebrau di Johor Bahru</t>
  </si>
  <si>
    <t>Ldg. Mount Austin, Johor Bahru</t>
  </si>
  <si>
    <t>5/97</t>
  </si>
  <si>
    <t>Kolam Air Johor Bahru</t>
  </si>
  <si>
    <t>Sg. Plentong</t>
  </si>
  <si>
    <t>06/86</t>
  </si>
  <si>
    <t>Sg. Tebrau</t>
  </si>
  <si>
    <t>Ldg. Sg. Plentong, Johor Bahru</t>
  </si>
  <si>
    <t>Loji Air Sg.Layang</t>
  </si>
  <si>
    <t>Sg.Tiram</t>
  </si>
  <si>
    <t>05/87</t>
  </si>
  <si>
    <t>Saj</t>
  </si>
  <si>
    <t>Kg. Oren</t>
  </si>
  <si>
    <t>Sg. Tiram</t>
  </si>
  <si>
    <t>Ldg. Sg. Tiram di Johor Bahru</t>
  </si>
  <si>
    <t>Ldg. Lim Lim Bhd., Masai</t>
  </si>
  <si>
    <t>Sg. Layang</t>
  </si>
  <si>
    <t>08/35</t>
  </si>
  <si>
    <t>Ldg. Telok Sengat di Kota Tinggi</t>
  </si>
  <si>
    <t>Sg. Layau</t>
  </si>
  <si>
    <t>15</t>
  </si>
  <si>
    <t>Kangar Chemara</t>
  </si>
  <si>
    <t>Sg.Papan</t>
  </si>
  <si>
    <t>02/70</t>
  </si>
  <si>
    <t>08/72</t>
  </si>
  <si>
    <t>Ldg. Sg. Papan di Kota Tinggi</t>
  </si>
  <si>
    <t>Sg. Papan</t>
  </si>
  <si>
    <t>04/28</t>
  </si>
  <si>
    <t>20</t>
  </si>
  <si>
    <t>Ldg. Kg. Bahru, Sg. Papan</t>
  </si>
  <si>
    <t>Batu Pahat</t>
  </si>
  <si>
    <t>Sg. Rengit</t>
  </si>
  <si>
    <t>Johor Silica</t>
  </si>
  <si>
    <t>6</t>
  </si>
  <si>
    <t>Pintu Pasang Surut Kg.Sg.Rengit</t>
  </si>
  <si>
    <t>Sg.Rengit</t>
  </si>
  <si>
    <t>Pintu Pasang Surut Rengit</t>
  </si>
  <si>
    <t>Sg.Benut</t>
  </si>
  <si>
    <t>Benut</t>
  </si>
  <si>
    <t>2.5</t>
  </si>
  <si>
    <t>Benut, Johor Barat</t>
  </si>
  <si>
    <t>Parit Batang Duku, Batu Pahat</t>
  </si>
  <si>
    <t>Sg.Tampok</t>
  </si>
  <si>
    <t>Tampok</t>
  </si>
  <si>
    <t>02/86</t>
  </si>
  <si>
    <t>Pintu Kawalan Tampok di Batu Pahat</t>
  </si>
  <si>
    <t>08/61</t>
  </si>
  <si>
    <t>Ldg. Kulai Young di Kulai</t>
  </si>
  <si>
    <t>Sg. Air Hitam</t>
  </si>
  <si>
    <t>Sg. Pontian Besar</t>
  </si>
  <si>
    <t>Balai Polis Kg.Seelong</t>
  </si>
  <si>
    <t>Kg. Separa</t>
  </si>
  <si>
    <t>01/00</t>
  </si>
  <si>
    <t>Ldg. Kelan di Kulai</t>
  </si>
  <si>
    <t>03/35</t>
  </si>
  <si>
    <t>9/94</t>
  </si>
  <si>
    <t>12/86</t>
  </si>
  <si>
    <t>Ldg. Ulu Tiram</t>
  </si>
  <si>
    <t>45</t>
  </si>
  <si>
    <t>Ldg. Nam Heng di Kota Tinggi</t>
  </si>
  <si>
    <t>Sg. Johor</t>
  </si>
  <si>
    <t>1/98</t>
  </si>
  <si>
    <t>Felda Air Tawar 1</t>
  </si>
  <si>
    <t>Stn. Pam Koris, Batu Pahat</t>
  </si>
  <si>
    <t>Sg.Senggarang</t>
  </si>
  <si>
    <t>Senggarang</t>
  </si>
  <si>
    <t>02/36</t>
  </si>
  <si>
    <t>Pintu Pasang Surut Senggarang</t>
  </si>
  <si>
    <t>Sg. Senggarang</t>
  </si>
  <si>
    <t>Ldg. Bkt. Batu Senggarang</t>
  </si>
  <si>
    <t>05/61</t>
  </si>
  <si>
    <t>9</t>
  </si>
  <si>
    <t>Pintu Kawalan  Parit Saidi Barat</t>
  </si>
  <si>
    <t>Parit Perpat</t>
  </si>
  <si>
    <t>Parit Perpat, Batu Pahat</t>
  </si>
  <si>
    <t>Sek. Keb. Merlong Darat</t>
  </si>
  <si>
    <t>Sg. Benut</t>
  </si>
  <si>
    <t>08/87</t>
  </si>
  <si>
    <t>Parit Madirono, Site 1</t>
  </si>
  <si>
    <t>Pt.Madirono</t>
  </si>
  <si>
    <t>02/78</t>
  </si>
  <si>
    <t>Parit Madirono, Site 2</t>
  </si>
  <si>
    <t>3/99</t>
  </si>
  <si>
    <t>Parit Madirono, Site 3</t>
  </si>
  <si>
    <t>Parit Madirono, Site 4</t>
  </si>
  <si>
    <t>Loji Pembersih Bkt. Batu</t>
  </si>
  <si>
    <t>Ldg. Sedenak di Sedenak</t>
  </si>
  <si>
    <t>Felda Kg. Teck Wah Heng</t>
  </si>
  <si>
    <t>Kluang</t>
  </si>
  <si>
    <t>Sg.Sayong</t>
  </si>
  <si>
    <t>Ldg. Sayong, Kulai</t>
  </si>
  <si>
    <t>01/70</t>
  </si>
  <si>
    <t>36</t>
  </si>
  <si>
    <t>Sek. Men. Bkt. Besar di Kota Tinggi</t>
  </si>
  <si>
    <t>Sg.Johor</t>
  </si>
  <si>
    <t>Bkt. Besar Felda di Kota Tinggi</t>
  </si>
  <si>
    <t>Sg. Linggui</t>
  </si>
  <si>
    <t>S.R.J.K. Kg. Rantau Panjang</t>
  </si>
  <si>
    <t>11</t>
  </si>
  <si>
    <t>Rumah Tapis Air, Kota Tinggi</t>
  </si>
  <si>
    <t>Ldg. Getah Malaya di Kota Tinggi</t>
  </si>
  <si>
    <t>01/34</t>
  </si>
  <si>
    <t>Sg.Permandi</t>
  </si>
  <si>
    <t>03/71</t>
  </si>
  <si>
    <t>Ldg. Permatang di  Kota Tinggi</t>
  </si>
  <si>
    <t>Sg.Mupor</t>
  </si>
  <si>
    <t>Ldg. Permatang, Kota Tinggi</t>
  </si>
  <si>
    <t>Ulu Mupor</t>
  </si>
  <si>
    <t>Sg.Sedili Kecil</t>
  </si>
  <si>
    <t>06/77</t>
  </si>
  <si>
    <t>Sek Men Munshi Sulaiman</t>
  </si>
  <si>
    <t>Sg.Batu Pahat</t>
  </si>
  <si>
    <t>Stor Daerah JPS Batu Pahat</t>
  </si>
  <si>
    <t>05/95</t>
  </si>
  <si>
    <t>Bukit Besar</t>
  </si>
  <si>
    <t>Kurai JKR, Batu Pahat</t>
  </si>
  <si>
    <t>Stor JPS Batu Pahat</t>
  </si>
  <si>
    <t>2</t>
  </si>
  <si>
    <t>Sg. Batu Pahat</t>
  </si>
  <si>
    <t>Kolam Air Bkt. Banang, Batu Pahat</t>
  </si>
  <si>
    <t>Sg.Koris</t>
  </si>
  <si>
    <t>Ldg. Banang, Batu Pahat</t>
  </si>
  <si>
    <t>10/81</t>
  </si>
  <si>
    <t>Pintu Kawalan Sembrong</t>
  </si>
  <si>
    <t>Sg. Semberong</t>
  </si>
  <si>
    <t>1.5</t>
  </si>
  <si>
    <t>Ldg. Sri Gading di  Batu Pahat</t>
  </si>
  <si>
    <t>Sg.Simpang Kanan</t>
  </si>
  <si>
    <t>Rumah Pengawas Parit Raja</t>
  </si>
  <si>
    <t>Sg.Sembrong</t>
  </si>
  <si>
    <t>Empangan Sg. Machap</t>
  </si>
  <si>
    <t>Sg. Machap</t>
  </si>
  <si>
    <t>Ldg. Simpang Rengam di Simpang Rengam</t>
  </si>
  <si>
    <t>Pusat Perbekalan Air di Spg. Rengam</t>
  </si>
  <si>
    <t>9/99</t>
  </si>
  <si>
    <t>10</t>
  </si>
  <si>
    <t>Ldg. Benut di Rengam</t>
  </si>
  <si>
    <t>Stesen Tele. Ulu Remis</t>
  </si>
  <si>
    <t>Ldg. Rengam di Rengam</t>
  </si>
  <si>
    <t>48</t>
  </si>
  <si>
    <t>Ldg. Ulu Remis, Layang Layang</t>
  </si>
  <si>
    <t>Ldg. Pekan Layang Layang</t>
  </si>
  <si>
    <t>Rancangan Ulu Sebol</t>
  </si>
  <si>
    <t>Sg. Sebol</t>
  </si>
  <si>
    <t>Kluang Ulu Sebol</t>
  </si>
  <si>
    <t>Sg.Sebol</t>
  </si>
  <si>
    <t>08/79</t>
  </si>
  <si>
    <t>Jam. Jln. Pengelli</t>
  </si>
  <si>
    <t>Sg.Penggeli</t>
  </si>
  <si>
    <t>07/85</t>
  </si>
  <si>
    <t>17</t>
  </si>
  <si>
    <t>Kerja Air Kota Tinggi</t>
  </si>
  <si>
    <t>Simpang Mawai-Kuala Sedili</t>
  </si>
  <si>
    <t>Sg.Sedili Besar</t>
  </si>
  <si>
    <t>Sedili Besar</t>
  </si>
  <si>
    <t>Loji Pembersih Sg. Gembut</t>
  </si>
  <si>
    <t>Sg. Gembut</t>
  </si>
  <si>
    <t>2/90</t>
  </si>
  <si>
    <t>Pengkalan Kg. Sedili Kecil</t>
  </si>
  <si>
    <t>Sedili Kecil</t>
  </si>
  <si>
    <t>9/97</t>
  </si>
  <si>
    <t>Pintu Kawalan Parit Jawa di Muar</t>
  </si>
  <si>
    <t>Pt.Jawa</t>
  </si>
  <si>
    <t>Jawa</t>
  </si>
  <si>
    <t>3</t>
  </si>
  <si>
    <t>Ldg. Air Manis di Muar</t>
  </si>
  <si>
    <t>Pintu Kawalan Parit Jamil di Muar</t>
  </si>
  <si>
    <t>Pt.Jamil</t>
  </si>
  <si>
    <t>Jamil</t>
  </si>
  <si>
    <t>Ibu Bekalan Sg. Sarang Buaya</t>
  </si>
  <si>
    <t>Sg. Sarang Buaya</t>
  </si>
  <si>
    <t>Sarang Buaya</t>
  </si>
  <si>
    <t>12/80</t>
  </si>
  <si>
    <t>4.5</t>
  </si>
  <si>
    <t>Pintu Kawalan Separap di Pesarai</t>
  </si>
  <si>
    <t>Kerja Air Parit Sulong di  Batu  Pahat</t>
  </si>
  <si>
    <t>Sg.Simpang Kiri</t>
  </si>
  <si>
    <t>Sri Medan</t>
  </si>
  <si>
    <t>Sg. Simpang Kiri</t>
  </si>
  <si>
    <t>Bt. 2 Jam. Brizay, Yong Peng</t>
  </si>
  <si>
    <t>Majuternak Air Hitam</t>
  </si>
  <si>
    <t>Sg. Sembrong</t>
  </si>
  <si>
    <t>10/82</t>
  </si>
  <si>
    <t>Empangan Sg. Sembrong di Air Hitam</t>
  </si>
  <si>
    <t>Pusat Pertanian Air Itam</t>
  </si>
  <si>
    <t>09/85</t>
  </si>
  <si>
    <t>7.5</t>
  </si>
  <si>
    <t>Rumah Pengawas Assam Bubok</t>
  </si>
  <si>
    <t>03/60</t>
  </si>
  <si>
    <t>04/90</t>
  </si>
  <si>
    <t>LKTP (Felda) Air Hitam</t>
  </si>
  <si>
    <t>09/79</t>
  </si>
  <si>
    <t>Felda Air Hitam</t>
  </si>
  <si>
    <t>Ldg. Nyanyo, Kluang</t>
  </si>
  <si>
    <t>Sg.Macap</t>
  </si>
  <si>
    <t>Ldg. Getah See Sun di Rengam</t>
  </si>
  <si>
    <t>Sg. Sayong</t>
  </si>
  <si>
    <t>Ldg. Lambak di  Kluang</t>
  </si>
  <si>
    <t>08/36</t>
  </si>
  <si>
    <t>60</t>
  </si>
  <si>
    <t>Lombong Sin Seng, Kota Tinggi</t>
  </si>
  <si>
    <t>11/87</t>
  </si>
  <si>
    <t>Jabatan Perhutanan di Ulu Sedili</t>
  </si>
  <si>
    <t>1/99</t>
  </si>
  <si>
    <t>S.R.J.K. Kg. Tg. Lembu</t>
  </si>
  <si>
    <t>Pintu Kawalan Tg. Agas di Muar</t>
  </si>
  <si>
    <t>Sg.Muar</t>
  </si>
  <si>
    <t>Kolam Air Bkt. Treh di Muar</t>
  </si>
  <si>
    <t>10/50</t>
  </si>
  <si>
    <t>Hospital Kerajaan, Muar</t>
  </si>
  <si>
    <t>JPS Muar</t>
  </si>
  <si>
    <t>Sek. Men. Inggeris Yong Peng</t>
  </si>
  <si>
    <t>Sg. Bekok</t>
  </si>
  <si>
    <t>09/70</t>
  </si>
  <si>
    <t>Loji Air Bahru di  Yong Peng</t>
  </si>
  <si>
    <t>07/83</t>
  </si>
  <si>
    <t>6/94</t>
  </si>
  <si>
    <t>Kerja Air Jkr. Yong Peng</t>
  </si>
  <si>
    <t>Sg.Bekok</t>
  </si>
  <si>
    <t>08/52</t>
  </si>
  <si>
    <t>Empangan Bekok</t>
  </si>
  <si>
    <t>Ldg. Yong Peng</t>
  </si>
  <si>
    <t>03/62</t>
  </si>
  <si>
    <t>25</t>
  </si>
  <si>
    <t>Ldg. Yong Peng di Batu Pahat</t>
  </si>
  <si>
    <t>24</t>
  </si>
  <si>
    <t>Ladang Yong Peng</t>
  </si>
  <si>
    <t>Ldg. Kian Hoe di Kluang</t>
  </si>
  <si>
    <t>Stor Baru JPS  Kluang</t>
  </si>
  <si>
    <t>Sg.Mengkibol</t>
  </si>
  <si>
    <t>1/00</t>
  </si>
  <si>
    <t>Stesen Bandar Kluang</t>
  </si>
  <si>
    <t>Sg. Mengkibol</t>
  </si>
  <si>
    <t>Jan-00</t>
  </si>
  <si>
    <t>Ldg. Mengkibol di Kluang</t>
  </si>
  <si>
    <t>Stor Jps. Kluang</t>
  </si>
  <si>
    <t>28</t>
  </si>
  <si>
    <t>Ldg. Rengo Malay, Kluang</t>
  </si>
  <si>
    <t>52</t>
  </si>
  <si>
    <t>Felda Kahang Barat</t>
  </si>
  <si>
    <t>Mersing</t>
  </si>
  <si>
    <t>Sg.Kahang</t>
  </si>
  <si>
    <t>Bkt. Panjang</t>
  </si>
  <si>
    <t>12/74</t>
  </si>
  <si>
    <t>04/80</t>
  </si>
  <si>
    <t>Rancangan Belia Sg. Ara</t>
  </si>
  <si>
    <t>Sg. Ule Sedili Besar</t>
  </si>
  <si>
    <t>12/75</t>
  </si>
  <si>
    <t>Sg. Sedeli Bt. 52</t>
  </si>
  <si>
    <t>Sg. Sedili</t>
  </si>
  <si>
    <t>Felda Tenggaroh 1</t>
  </si>
  <si>
    <t>Sg.Sedili Beasr</t>
  </si>
  <si>
    <t>Pintu Kawalan Sg.Kesang</t>
  </si>
  <si>
    <t>04/79</t>
  </si>
  <si>
    <t>Rumah Pam Pulau Penarek, Muar</t>
  </si>
  <si>
    <t>Rumah Pam Telok Rimba di Muar</t>
  </si>
  <si>
    <t>4.6</t>
  </si>
  <si>
    <t>Rumah Pam Kesang Tasek</t>
  </si>
  <si>
    <t>Sg.Kesang</t>
  </si>
  <si>
    <t>07/59</t>
  </si>
  <si>
    <t>Ldg. Tanjung Olak, Muar</t>
  </si>
  <si>
    <t>06/60</t>
  </si>
  <si>
    <t>Ldg. Temiang Renchong di Muar</t>
  </si>
  <si>
    <t>8</t>
  </si>
  <si>
    <t>Ldg. Temiang Renchong (Pagoh)</t>
  </si>
  <si>
    <t>Kolam Air Pengkalan Bukit</t>
  </si>
  <si>
    <t>90</t>
  </si>
  <si>
    <t>Chaah Estate di Chaah</t>
  </si>
  <si>
    <t>Segamat</t>
  </si>
  <si>
    <t>Sg.Lenik</t>
  </si>
  <si>
    <t>Ladang Chaah</t>
  </si>
  <si>
    <t>Sg. Lenik</t>
  </si>
  <si>
    <t>Kangkar Chaah</t>
  </si>
  <si>
    <t>Ldg. Union di Yong Peng</t>
  </si>
  <si>
    <t>7</t>
  </si>
  <si>
    <t>Sg. Bekok Bt. 77</t>
  </si>
  <si>
    <t>Ldg. Bkt. Paloh, Paloh</t>
  </si>
  <si>
    <t>Sg.Paloh</t>
  </si>
  <si>
    <t>Ldg. Tiong Kiat, Paloh, Kluang</t>
  </si>
  <si>
    <t>06/63</t>
  </si>
  <si>
    <t>Ldg. Pamol, Kluang</t>
  </si>
  <si>
    <t>Rancangan Risda Sg.Ambat</t>
  </si>
  <si>
    <t>Sg. Ambat</t>
  </si>
  <si>
    <t>Ldg. Eng Kee di Tangkak</t>
  </si>
  <si>
    <t>Sg.Tangkak</t>
  </si>
  <si>
    <t>Ldg. Serom, Tangkak</t>
  </si>
  <si>
    <t>04/37</t>
  </si>
  <si>
    <t>03/66</t>
  </si>
  <si>
    <t>12</t>
  </si>
  <si>
    <t>Hospital Kerajaan, Tangkak</t>
  </si>
  <si>
    <t>Rumah Pengawas Sawah Sg. Ring</t>
  </si>
  <si>
    <t>Sg. Ring</t>
  </si>
  <si>
    <t>10/94</t>
  </si>
  <si>
    <t>Ldg. Ban Heng, Muar</t>
  </si>
  <si>
    <t>Sg.,Muar</t>
  </si>
  <si>
    <t>Kompleks Penghulu Chaah,</t>
  </si>
  <si>
    <t>Ldg. Johor Labis, Labis</t>
  </si>
  <si>
    <t>Ldg. Chan Wing di Pagoh</t>
  </si>
  <si>
    <t>Ladang Chan Wing</t>
  </si>
  <si>
    <t>Ldg. Kekayaan</t>
  </si>
  <si>
    <t>70</t>
  </si>
  <si>
    <t>Ldg. Paloh di  Paloh</t>
  </si>
  <si>
    <t>51</t>
  </si>
  <si>
    <t>Ldg.Sungai Tawing</t>
  </si>
  <si>
    <t>Sg. Tawing</t>
  </si>
  <si>
    <t>Sg.Endau</t>
  </si>
  <si>
    <t>Sek. Men. Kahang</t>
  </si>
  <si>
    <t>Bt. 94 Kahang, Kluang</t>
  </si>
  <si>
    <t>06/37</t>
  </si>
  <si>
    <t>12/82</t>
  </si>
  <si>
    <t>Ibu Bekalan Kahang di Kluang</t>
  </si>
  <si>
    <t>Sg. Kahang</t>
  </si>
  <si>
    <t>11/49</t>
  </si>
  <si>
    <t>Sg.Lenggor</t>
  </si>
  <si>
    <t>08/62</t>
  </si>
  <si>
    <t>16.6</t>
  </si>
  <si>
    <t>Sg. Segamat</t>
  </si>
  <si>
    <t>Kerja Air Jemaluang</t>
  </si>
  <si>
    <t>Sg.Jemaluang</t>
  </si>
  <si>
    <t>Jamaluang</t>
  </si>
  <si>
    <t>7/99</t>
  </si>
  <si>
    <t>Pemasokan Mount Ophir di Muar</t>
  </si>
  <si>
    <t>02/28</t>
  </si>
  <si>
    <t>360</t>
  </si>
  <si>
    <t>Ldg. Tangkak, Daerah Air Panas</t>
  </si>
  <si>
    <t>Tangkak</t>
  </si>
  <si>
    <t>Ldg. Sagil, Bkt. Pasir di Tangkak</t>
  </si>
  <si>
    <t>Sg. Sagil</t>
  </si>
  <si>
    <t>9.1</t>
  </si>
  <si>
    <t>Ldg. Bkt. Serampang di Tangkak</t>
  </si>
  <si>
    <t>Kolam Puteri</t>
  </si>
  <si>
    <t>Gunung Ledang</t>
  </si>
  <si>
    <t>G. Ledang</t>
  </si>
  <si>
    <t>Ldg. Sg. Labis di  Labis</t>
  </si>
  <si>
    <t>Sg.Labis</t>
  </si>
  <si>
    <t>32</t>
  </si>
  <si>
    <t>Kuala Sg. Mas</t>
  </si>
  <si>
    <t>Sg. Mas</t>
  </si>
  <si>
    <t>Felda Nitar</t>
  </si>
  <si>
    <t>Sg. Tambang</t>
  </si>
  <si>
    <t>Sg. Lenggor</t>
  </si>
  <si>
    <t>Felda</t>
  </si>
  <si>
    <t>Stn. Pertanian Jementah</t>
  </si>
  <si>
    <t>Sg.Labong</t>
  </si>
  <si>
    <t>Felcra Tebing Tinggi di Segamat</t>
  </si>
  <si>
    <t>Fel.</t>
  </si>
  <si>
    <t>Ldg. Segamat di Segamat</t>
  </si>
  <si>
    <t>Sg.Segamat</t>
  </si>
  <si>
    <t>Ldg. Getah Labis Bharu di  Segamat</t>
  </si>
  <si>
    <t>22</t>
  </si>
  <si>
    <t>Ldg. Chuang Moh San di Segamat</t>
  </si>
  <si>
    <t>03/51</t>
  </si>
  <si>
    <t>9/93</t>
  </si>
  <si>
    <t>Sawah Tenang Labis</t>
  </si>
  <si>
    <t>Sg.Tenang</t>
  </si>
  <si>
    <t>Kg. Tenang, Segamat</t>
  </si>
  <si>
    <t>Sg.Juasseh</t>
  </si>
  <si>
    <t>Sg. Juasseh</t>
  </si>
  <si>
    <t>Stor Jps.Batu Tiga di Mersing</t>
  </si>
  <si>
    <t>Sg.Mersing</t>
  </si>
  <si>
    <t>Stn. Pertanian Tenglu</t>
  </si>
  <si>
    <t>Sg.Tenglu</t>
  </si>
  <si>
    <t>Tenglu</t>
  </si>
  <si>
    <t>Stn. Kajicuaca Mersing</t>
  </si>
  <si>
    <t>3/74</t>
  </si>
  <si>
    <t>Ldg. Sungai  Gemas</t>
  </si>
  <si>
    <t>Sg. gemas</t>
  </si>
  <si>
    <t>Perumahan Ldg. Gemas</t>
  </si>
  <si>
    <t>Sg.Gemas</t>
  </si>
  <si>
    <t>07/27</t>
  </si>
  <si>
    <t>Buloh Kasap</t>
  </si>
  <si>
    <t>Sg. Muar</t>
  </si>
  <si>
    <t>Ldg. Paya Lang, Segamat</t>
  </si>
  <si>
    <t>01/29</t>
  </si>
  <si>
    <t>10.7</t>
  </si>
  <si>
    <t>Perumahan Ldg. Buloh Kesap</t>
  </si>
  <si>
    <t>Felcra Pauh Manis</t>
  </si>
  <si>
    <t>08/80</t>
  </si>
  <si>
    <t>1/94</t>
  </si>
  <si>
    <t>Stesen Bandar Segamat</t>
  </si>
  <si>
    <t>10/99</t>
  </si>
  <si>
    <t>Rumah Tapis Segamat</t>
  </si>
  <si>
    <t>Sg.Segamnat</t>
  </si>
  <si>
    <t>04/42</t>
  </si>
  <si>
    <t>Felda Medoi, Segamat</t>
  </si>
  <si>
    <t>Kemelah</t>
  </si>
  <si>
    <t>Kg. Peta Ulu Sg. Endau</t>
  </si>
  <si>
    <t>Sg. Endau</t>
  </si>
  <si>
    <t>10/72</t>
  </si>
  <si>
    <t>Empangan Labong, Endau</t>
  </si>
  <si>
    <t>9.8</t>
  </si>
  <si>
    <t>Kerja Air Jkr. Tenglu, Mersing</t>
  </si>
  <si>
    <t>10/90</t>
  </si>
  <si>
    <t>Ldg. Gomali di Batu Enam</t>
  </si>
  <si>
    <t>Kg. Awat</t>
  </si>
  <si>
    <t>Ldg. Mados Sermin</t>
  </si>
  <si>
    <t>Sg.Sermin</t>
  </si>
  <si>
    <t>Pusat Pertanian Endau</t>
  </si>
  <si>
    <t>3.8</t>
  </si>
  <si>
    <t>Stor JPS Endau</t>
  </si>
  <si>
    <t>4</t>
  </si>
  <si>
    <t>Sek. Keb. Air Tawar</t>
  </si>
  <si>
    <t>LSHUSH  $$$ Suppress Option output</t>
  </si>
  <si>
    <t>$$$ INITIAL SETTINGS $$$</t>
  </si>
  <si>
    <t>PAGE OFF  $$$ No Page feed between processes</t>
  </si>
  <si>
    <t>NPRINT    $$$ Printer option for DOS Tideda</t>
  </si>
  <si>
    <t xml:space="preserve">OFILE </t>
  </si>
  <si>
    <t>PLFILE DISPLAY</t>
  </si>
  <si>
    <t>$$$ PLFILE /PORT  $$$ Portrait mode for graphs</t>
  </si>
  <si>
    <t>$$$ PLFILE /LAND  $$$ Landscape mode for graphs</t>
  </si>
  <si>
    <t>$$$ PFILE /PORT  $$$ Portrait mode for text</t>
  </si>
  <si>
    <t>$$$ PFILE /LAND  $$$ Landscape mode for text</t>
  </si>
  <si>
    <t>AUTOPEN OFF</t>
  </si>
  <si>
    <t>AUTOPEN PEN 1,0,0</t>
  </si>
  <si>
    <t>AUTOPEN PEN 2,0,0</t>
  </si>
  <si>
    <t>AUTOPEN PEN 3,0,0</t>
  </si>
  <si>
    <t>AUTOPEN PEN 4,0,0</t>
  </si>
  <si>
    <t>AUTOPEN PEN 5,0,0</t>
  </si>
  <si>
    <t>AUTOPEN PEN 6,0,0</t>
  </si>
  <si>
    <t>AUTOPEN PEN 7,0,0</t>
  </si>
  <si>
    <t>AUTOPEN PEN 8,0,0</t>
  </si>
  <si>
    <t>AUTOPEN PEN 9,0,0</t>
  </si>
  <si>
    <t>AUTOPEN PEN 10,0,0</t>
  </si>
  <si>
    <t>THRESHOLD OFF</t>
  </si>
  <si>
    <t>THRESHOLD 1 OFF</t>
  </si>
  <si>
    <t>THRESHOLD 2 OFF</t>
  </si>
  <si>
    <t>THRESHOLD 3 OFF</t>
  </si>
  <si>
    <t>THRESHOLD 4 OFF</t>
  </si>
  <si>
    <t>THRESHOLD 5 OFF</t>
  </si>
  <si>
    <t>THRESHOLD 6 OFF</t>
  </si>
  <si>
    <t>CUSTOM OFF</t>
  </si>
  <si>
    <t>CUSTOM OVERPLOT</t>
  </si>
  <si>
    <t>CUSTOM RANGE 0 YEAR</t>
  </si>
  <si>
    <t>FILTER OFF</t>
  </si>
  <si>
    <t>FILTER HOUR ALL</t>
  </si>
  <si>
    <t>FILTER DAY ALL</t>
  </si>
  <si>
    <t>FILTER MONTH ALL</t>
  </si>
  <si>
    <t>PLDEF</t>
  </si>
  <si>
    <t>NTICKS</t>
  </si>
  <si>
    <t>NCALENDAR</t>
  </si>
  <si>
    <t>NID</t>
  </si>
  <si>
    <t>NSITE</t>
  </si>
  <si>
    <t>NTITLE</t>
  </si>
  <si>
    <t>NSCALE</t>
  </si>
  <si>
    <t>NUNITS</t>
  </si>
  <si>
    <t>NDATE</t>
  </si>
  <si>
    <t>NTIMEFILTER</t>
  </si>
  <si>
    <t>GO</t>
  </si>
  <si>
    <t>FIX HEIGHT</t>
  </si>
  <si>
    <t>PAGE ON</t>
  </si>
  <si>
    <t>$$$ END OF INITIAL SETTINGS $$$</t>
  </si>
  <si>
    <t>WINDOW MAXIMISE   $$$ Full screen</t>
  </si>
  <si>
    <t>PMOVE</t>
  </si>
  <si>
    <t>&lt;U&gt;</t>
  </si>
  <si>
    <t>NLABEL</t>
  </si>
  <si>
    <t>ITEM 1</t>
  </si>
  <si>
    <t>NRATE</t>
  </si>
  <si>
    <t>MAXIMA</t>
  </si>
  <si>
    <t>NYEARLY</t>
  </si>
  <si>
    <t>NOVERLAP</t>
  </si>
  <si>
    <t>NUMBER 3</t>
  </si>
  <si>
    <t>MUL 1</t>
  </si>
  <si>
    <t>DIV 1</t>
  </si>
  <si>
    <t>ADD 0</t>
  </si>
  <si>
    <t xml:space="preserve">PFILE /F </t>
  </si>
  <si>
    <t>.txt</t>
  </si>
  <si>
    <t>Retrieval interval</t>
  </si>
  <si>
    <t>Division</t>
  </si>
  <si>
    <t>Addition</t>
  </si>
  <si>
    <t>Multiplication</t>
  </si>
  <si>
    <t>Show a maximum of # values</t>
  </si>
  <si>
    <t>Values for entire period</t>
  </si>
  <si>
    <t>No interval overlap</t>
  </si>
  <si>
    <t>OFILE C:DEMO.MTD</t>
  </si>
  <si>
    <t>AUTOPEN PEN 1,1,4</t>
  </si>
  <si>
    <t>AUTOPEN PEN 2,1,23</t>
  </si>
  <si>
    <t>AUTOPEN PEN 3,1,47</t>
  </si>
  <si>
    <t>AUTOPEN PEN 4,1,39</t>
  </si>
  <si>
    <t>AUTOPEN PEN 5,1,63</t>
  </si>
  <si>
    <t>AUTOPEN PEN 6,1,18</t>
  </si>
  <si>
    <t>AUTOPEN PEN 7,1,3</t>
  </si>
  <si>
    <t>AUTOPEN PEN 8,1,36</t>
  </si>
  <si>
    <t>AUTOPEN PEN 9,1,26</t>
  </si>
  <si>
    <t>AUTOPEN PEN 10,1,42</t>
  </si>
  <si>
    <t>EXPORT S</t>
  </si>
  <si>
    <t>NXML</t>
  </si>
  <si>
    <t>HEADINGS</t>
  </si>
  <si>
    <t>SITE</t>
  </si>
  <si>
    <t>NCOMMA</t>
  </si>
  <si>
    <t>PUNITS</t>
  </si>
  <si>
    <t>NCLIPBOARD</t>
  </si>
  <si>
    <t>DATE 3</t>
  </si>
  <si>
    <t>AVERAGE</t>
  </si>
  <si>
    <t>NZERO</t>
  </si>
  <si>
    <t>NSYNCHRONIZE</t>
  </si>
  <si>
    <t xml:space="preserve">INCOMPLETE  </t>
  </si>
  <si>
    <t>LFILE</t>
  </si>
  <si>
    <t>3016001.csv /N</t>
  </si>
  <si>
    <t>use this if change date and time</t>
  </si>
  <si>
    <t>Unit: d, h, mi</t>
  </si>
  <si>
    <t>Instructions:</t>
  </si>
  <si>
    <t>Select State of interest.</t>
  </si>
  <si>
    <t>RAINFALL_PM sheet</t>
  </si>
  <si>
    <t>Functions</t>
  </si>
  <si>
    <t>movmax sheet</t>
  </si>
  <si>
    <t>exportCSV</t>
  </si>
  <si>
    <t>Export rainfall data according to specified time interval and time period to csv</t>
  </si>
  <si>
    <t>Function sheets</t>
  </si>
  <si>
    <t>Click 'Generate TIDEDA Script' button</t>
  </si>
  <si>
    <t>$$$ Script file written by TIDEDA_script_generator.xlsm</t>
  </si>
  <si>
    <t xml:space="preserve">Change content in </t>
  </si>
  <si>
    <t>cells</t>
  </si>
  <si>
    <t>Data source file (.mtd)</t>
  </si>
  <si>
    <t>Attribute file (.att)</t>
  </si>
  <si>
    <t>Relevant options (duration, time period, mul/div/add, etc)</t>
  </si>
  <si>
    <t>Result/save folder</t>
  </si>
  <si>
    <t>put 1 day before required date, at 23:59:59</t>
  </si>
  <si>
    <t>put latest date if want full time range,</t>
  </si>
  <si>
    <t>will not be printed if no data</t>
  </si>
  <si>
    <t>1 h</t>
  </si>
  <si>
    <t>Interval</t>
  </si>
  <si>
    <t>5 mi</t>
  </si>
  <si>
    <t>10 mi</t>
  </si>
  <si>
    <t>15 mi</t>
  </si>
  <si>
    <t>20 mi</t>
  </si>
  <si>
    <t>30 mi</t>
  </si>
  <si>
    <t>3 d</t>
  </si>
  <si>
    <t>2 h</t>
  </si>
  <si>
    <t>3 h</t>
  </si>
  <si>
    <t>6 h</t>
  </si>
  <si>
    <t>12 h</t>
  </si>
  <si>
    <t>1 d</t>
  </si>
  <si>
    <t xml:space="preserve">INTERVAL </t>
  </si>
  <si>
    <t>9 h</t>
  </si>
  <si>
    <t>Notes:</t>
  </si>
  <si>
    <t>Don't need to change content in this cell, automatically changed by code</t>
  </si>
  <si>
    <t>Change content accordingly</t>
  </si>
  <si>
    <t>Range which are repeated for different values</t>
  </si>
  <si>
    <t>movmax_stn sheet</t>
  </si>
  <si>
    <t>Moving mean/maximum/minimum value for specified duration (all stations in RAINFALL_PM)</t>
  </si>
  <si>
    <t>Moving mean/maximum/minimum value for specified station (and listed durations)</t>
  </si>
  <si>
    <t xml:space="preserve"> (all stations in RAINFALL_PM)</t>
  </si>
  <si>
    <t>(full time range)</t>
  </si>
  <si>
    <t>IFILE F:\TIDEDA\DATA DID\Data Tideda 3042013\Kelantan\AUTO_LOGGER.mtd</t>
  </si>
  <si>
    <t>AFILE F:\TIDEDA\DATA TIDEDA 19 NOV 2014\sites.att</t>
  </si>
  <si>
    <t>F:\TIDEDA\Extracted\Kelantan_csv\</t>
  </si>
  <si>
    <t>IFILE F:\TIDEDA\DATA TIDEDA 19 NOV 2014\KELANTAN\AUTO_LOGGER.mtd</t>
  </si>
  <si>
    <t>INTERVAL</t>
  </si>
  <si>
    <t>MUL</t>
  </si>
  <si>
    <t>GAP</t>
  </si>
  <si>
    <t>PERCENT</t>
  </si>
  <si>
    <t>DIV</t>
  </si>
  <si>
    <t>ADD</t>
  </si>
  <si>
    <t>YEARLY</t>
  </si>
  <si>
    <t>INTERVAL 2 d</t>
  </si>
  <si>
    <t>yearly</t>
  </si>
  <si>
    <t>000001</t>
  </si>
  <si>
    <t>state</t>
  </si>
  <si>
    <t>Kemaman3auto</t>
  </si>
  <si>
    <t>IFILE F:\TIDEDA\DATA TIDEDA 19 NOV 2014\TERENGGANU\AUTO_LOGGER.mtd</t>
  </si>
  <si>
    <t>235959</t>
  </si>
  <si>
    <t>space between digit and unit</t>
  </si>
  <si>
    <t>$$$ Script file written by Tideda for Windows on 7-MAY-2015</t>
  </si>
  <si>
    <t>TICKS</t>
  </si>
  <si>
    <t>CALENDAR</t>
  </si>
  <si>
    <t>TITLE</t>
  </si>
  <si>
    <t>UNITS</t>
  </si>
  <si>
    <t>NUMBER</t>
  </si>
  <si>
    <t>IFILE</t>
  </si>
  <si>
    <t>H:\TIDEDA\14.4.15 data tideda jps\Johor\AUTO_LOGGER.mtd</t>
  </si>
  <si>
    <t>AFILE</t>
  </si>
  <si>
    <t>H:\TIDEDA\DATA TIDEDA 19 NOV 2014\sites.att</t>
  </si>
  <si>
    <t>PFILE /F</t>
  </si>
  <si>
    <t>H:\TIDEDA\script_test\movmax_1970-2000_1d.txt</t>
  </si>
  <si>
    <t>Number of max value over the period</t>
  </si>
  <si>
    <t>2 d</t>
  </si>
  <si>
    <t>18 h</t>
  </si>
  <si>
    <t>5 d</t>
  </si>
  <si>
    <t>7 d</t>
  </si>
  <si>
    <t>If script cannot run, remove slash "/" from station name</t>
  </si>
  <si>
    <t>Jab. Penjara Sg. Petani - Workshop JPS Sg. Petani</t>
  </si>
  <si>
    <t>Pintu Kawalan P-S Kuala Sala</t>
  </si>
  <si>
    <t>Pintu Kawalan P-S Kuala Sanglang (Tutup )</t>
  </si>
  <si>
    <t>Duriang Tunggal (U-S)</t>
  </si>
  <si>
    <t>Klebang Besar (U-S)</t>
  </si>
  <si>
    <t>MARDI Jelebu - MARDI Station</t>
  </si>
  <si>
    <t>Juru Dam Kolam Air Bkt. Berapit - Pusat</t>
  </si>
  <si>
    <t>P-A Sg. Pelek Sepang</t>
  </si>
  <si>
    <t>P-A Kg. Tali Air Morib</t>
  </si>
  <si>
    <t>P-A Kelanang</t>
  </si>
  <si>
    <t>P-A Pekan Banting</t>
  </si>
  <si>
    <t>P-A Sg. Sedu</t>
  </si>
  <si>
    <t>Pintu Kawalan P-S Telok Gong</t>
  </si>
  <si>
    <t>P-A Bt. 9 Sijangkang</t>
  </si>
  <si>
    <t>P-A Bt 7 Sijangkang</t>
  </si>
  <si>
    <t>Km. 45.5 Jln. klang-K.Selangor</t>
  </si>
  <si>
    <t>Sempadan.Gombak-K. Selangor</t>
  </si>
  <si>
    <t>T-A 1, Sg. Burong ( Pengairan )</t>
  </si>
  <si>
    <t>T-A 2 Sg. Burong</t>
  </si>
  <si>
    <t>Pintu Kawalan P-S Sg. Nipah</t>
  </si>
  <si>
    <t>Sek. Keb. Kerteh di Kemaman - Paya Labuhan, Kemaman</t>
  </si>
  <si>
    <t>Hospital K. Brang - JBA Kuala Brang (Dipindahkan ke JPS.Hulu Trg.)</t>
  </si>
  <si>
    <t>Klinik Kg. Raja di Besut - Sek. Men. Keb. Pengkalan Nyireh</t>
  </si>
  <si>
    <t>Felda Ulu Tiram-Ulu Tebrau</t>
  </si>
  <si>
    <t>Bt. 27 Jln. Johor Bahru-Mersing</t>
  </si>
  <si>
    <t>Felda Bkt. Wah Ha-Aping Selatan</t>
  </si>
  <si>
    <t>Ldg. Ulu Paloh di Kluang-CEP Nyior</t>
  </si>
  <si>
    <t>Bt. 42 Jln. Kluang-Mersing</t>
  </si>
  <si>
    <t>Bt. 67 Jln. Kota Tinggi-Mersing</t>
  </si>
  <si>
    <t>Kahang Oil Palm Mill-Ldg. Bukit Cantik</t>
  </si>
  <si>
    <t>000000</t>
  </si>
  <si>
    <t>File paths should not be too long.</t>
  </si>
  <si>
    <t>$$$ Script file written by Tideda for Windows on 17-AUG-2018</t>
  </si>
  <si>
    <t>PDAY</t>
  </si>
  <si>
    <t>NEND</t>
  </si>
  <si>
    <t>RAINDAY</t>
  </si>
  <si>
    <t>DAY</t>
  </si>
  <si>
    <t>WIDTH</t>
  </si>
  <si>
    <t>Day starts at:</t>
  </si>
  <si>
    <t>Assign value to end of Day:</t>
  </si>
  <si>
    <t>Minimum rain for Rain Day (mm)</t>
  </si>
  <si>
    <t>NFIX</t>
  </si>
  <si>
    <t>IFILE D:\Data\TIDEDA\DATA TIDEDA 2018-7-23\N. SEMBILAN\AUTO_LOGGER.mtd</t>
  </si>
  <si>
    <t>AFILE D:\Data\TIDEDA\DATA TIDEDA 2018-7-23\sites.att</t>
  </si>
  <si>
    <t>D:\Data\TIDEDA\Extracted\n9\</t>
  </si>
  <si>
    <t>Selected_stns</t>
  </si>
  <si>
    <t>not more than 30 stations at one time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</si>
</sst>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4" applyNumberFormat="0" applyAlignment="0" applyProtection="0"/>
    <xf numFmtId="0" fontId="13" fillId="11" borderId="5" applyNumberFormat="0" applyAlignment="0" applyProtection="0"/>
    <xf numFmtId="0" fontId="14" fillId="11" borderId="4" applyNumberFormat="0" applyAlignment="0" applyProtection="0"/>
    <xf numFmtId="0" fontId="15" fillId="0" borderId="6" applyNumberFormat="0" applyFill="0" applyAlignment="0" applyProtection="0"/>
    <xf numFmtId="0" fontId="16" fillId="12" borderId="7" applyNumberFormat="0" applyAlignment="0" applyProtection="0"/>
    <xf numFmtId="0" fontId="17" fillId="0" borderId="0" applyNumberFormat="0" applyFill="0" applyBorder="0" applyAlignment="0" applyProtection="0"/>
    <xf numFmtId="0" fontId="4" fillId="13" borderId="8" applyNumberFormat="0" applyFont="0" applyAlignment="0" applyProtection="0"/>
    <xf numFmtId="0" fontId="18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9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19" fillId="37" borderId="0" applyNumberFormat="0" applyBorder="0" applyAlignment="0" applyProtection="0"/>
  </cellStyleXfs>
  <cellXfs count="35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/>
    <xf numFmtId="0" fontId="0" fillId="3" borderId="0" xfId="0" applyFill="1" applyAlignment="1">
      <alignment horizontal="left"/>
    </xf>
    <xf numFmtId="0" fontId="0" fillId="0" borderId="0" xfId="0" applyFill="1"/>
    <xf numFmtId="0" fontId="2" fillId="0" borderId="0" xfId="0" applyFont="1"/>
    <xf numFmtId="0" fontId="0" fillId="5" borderId="0" xfId="0" applyFill="1"/>
    <xf numFmtId="0" fontId="0" fillId="6" borderId="0" xfId="0" applyFill="1"/>
    <xf numFmtId="0" fontId="0" fillId="3" borderId="0" xfId="0" quotePrefix="1" applyFill="1" applyAlignment="1">
      <alignment horizontal="left"/>
    </xf>
    <xf numFmtId="0" fontId="2" fillId="0" borderId="10" xfId="0" applyNumberFormat="1" applyFont="1" applyBorder="1" applyAlignment="1">
      <alignment vertical="center" wrapText="1"/>
    </xf>
    <xf numFmtId="0" fontId="0" fillId="0" borderId="10" xfId="0" applyNumberFormat="1" applyBorder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10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0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1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3" borderId="10" xfId="0" applyNumberFormat="1" applyFont="1" applyFill="1" applyBorder="1" applyAlignment="1">
      <alignment horizontal="center" vertical="center"/>
    </xf>
    <xf numFmtId="0" fontId="0" fillId="6" borderId="10" xfId="0" applyNumberFormat="1" applyFill="1" applyBorder="1" applyAlignment="1">
      <alignment horizontal="center" vertical="center"/>
    </xf>
    <xf numFmtId="0" fontId="0" fillId="6" borderId="10" xfId="0" applyNumberFormat="1" applyFill="1" applyBorder="1" applyAlignment="1">
      <alignment vertical="center" wrapText="1"/>
    </xf>
    <xf numFmtId="0" fontId="0" fillId="6" borderId="10" xfId="0" applyNumberFormat="1" applyFill="1" applyBorder="1" applyAlignment="1">
      <alignment vertical="center"/>
    </xf>
    <xf numFmtId="0" fontId="2" fillId="0" borderId="10" xfId="0" applyNumberFormat="1" applyFont="1" applyBorder="1" applyAlignment="1">
      <alignment horizontal="left" vertical="center"/>
    </xf>
    <xf numFmtId="0" fontId="0" fillId="0" borderId="10" xfId="0" applyNumberFormat="1" applyBorder="1" applyAlignment="1">
      <alignment horizontal="left" vertical="center"/>
    </xf>
    <xf numFmtId="0" fontId="0" fillId="6" borderId="10" xfId="0" applyNumberFormat="1" applyFill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6" borderId="0" xfId="0" applyFill="1" applyAlignmen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85</xdr:row>
          <xdr:rowOff>47625</xdr:rowOff>
        </xdr:from>
        <xdr:to>
          <xdr:col>9</xdr:col>
          <xdr:colOff>466725</xdr:colOff>
          <xdr:row>87</xdr:row>
          <xdr:rowOff>9525</xdr:rowOff>
        </xdr:to>
        <xdr:sp macro="" textlink="">
          <xdr:nvSpPr>
            <xdr:cNvPr id="1025" name="Button 1" descr="Generate TIDEDA Scrip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88</xdr:row>
          <xdr:rowOff>133350</xdr:rowOff>
        </xdr:from>
        <xdr:to>
          <xdr:col>2</xdr:col>
          <xdr:colOff>438150</xdr:colOff>
          <xdr:row>91</xdr:row>
          <xdr:rowOff>123825</xdr:rowOff>
        </xdr:to>
        <xdr:sp macro="" textlink="">
          <xdr:nvSpPr>
            <xdr:cNvPr id="3073" name="Button 1" descr="Generate TIDEDA Scrip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88</xdr:row>
          <xdr:rowOff>161925</xdr:rowOff>
        </xdr:from>
        <xdr:to>
          <xdr:col>11</xdr:col>
          <xdr:colOff>133350</xdr:colOff>
          <xdr:row>91</xdr:row>
          <xdr:rowOff>152400</xdr:rowOff>
        </xdr:to>
        <xdr:sp macro="" textlink="">
          <xdr:nvSpPr>
            <xdr:cNvPr id="3074" name="Button 2" descr="Generate TIDEDA Scrip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80</xdr:row>
          <xdr:rowOff>76200</xdr:rowOff>
        </xdr:from>
        <xdr:to>
          <xdr:col>10</xdr:col>
          <xdr:colOff>180975</xdr:colOff>
          <xdr:row>83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92</xdr:row>
          <xdr:rowOff>152400</xdr:rowOff>
        </xdr:from>
        <xdr:to>
          <xdr:col>2</xdr:col>
          <xdr:colOff>533400</xdr:colOff>
          <xdr:row>95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(all time range)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91</xdr:row>
          <xdr:rowOff>0</xdr:rowOff>
        </xdr:from>
        <xdr:to>
          <xdr:col>16</xdr:col>
          <xdr:colOff>323850</xdr:colOff>
          <xdr:row>93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(specified time range)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88</xdr:row>
          <xdr:rowOff>133350</xdr:rowOff>
        </xdr:from>
        <xdr:to>
          <xdr:col>2</xdr:col>
          <xdr:colOff>438150</xdr:colOff>
          <xdr:row>91</xdr:row>
          <xdr:rowOff>123825</xdr:rowOff>
        </xdr:to>
        <xdr:sp macro="" textlink="">
          <xdr:nvSpPr>
            <xdr:cNvPr id="25601" name="Button 1" descr="Generate TIDEDA Scrip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79998168889431442"/>
  </sheetPr>
  <dimension ref="A1:E30"/>
  <sheetViews>
    <sheetView workbookViewId="0">
      <selection activeCell="D15" sqref="D15"/>
    </sheetView>
  </sheetViews>
  <sheetFormatPr defaultRowHeight="15" x14ac:dyDescent="0.25"/>
  <cols>
    <col min="1" max="1" width="6.140625" customWidth="1"/>
    <col min="2" max="2" width="4.42578125" customWidth="1"/>
    <col min="3" max="3" width="13" customWidth="1"/>
  </cols>
  <sheetData>
    <row r="1" spans="1:5" x14ac:dyDescent="0.25">
      <c r="A1" s="10" t="s">
        <v>2555</v>
      </c>
    </row>
    <row r="2" spans="1:5" x14ac:dyDescent="0.25">
      <c r="A2">
        <v>1</v>
      </c>
      <c r="B2" t="s">
        <v>2556</v>
      </c>
    </row>
    <row r="3" spans="1:5" x14ac:dyDescent="0.25">
      <c r="B3" t="s">
        <v>2591</v>
      </c>
    </row>
    <row r="4" spans="1:5" x14ac:dyDescent="0.25">
      <c r="A4">
        <v>2</v>
      </c>
      <c r="B4" t="s">
        <v>2590</v>
      </c>
    </row>
    <row r="5" spans="1:5" x14ac:dyDescent="0.25">
      <c r="B5" t="s">
        <v>2592</v>
      </c>
    </row>
    <row r="6" spans="1:5" x14ac:dyDescent="0.25">
      <c r="A6">
        <v>3</v>
      </c>
      <c r="B6" t="s">
        <v>2557</v>
      </c>
    </row>
    <row r="7" spans="1:5" x14ac:dyDescent="0.25">
      <c r="B7" t="s">
        <v>2558</v>
      </c>
    </row>
    <row r="8" spans="1:5" x14ac:dyDescent="0.25">
      <c r="B8" t="s">
        <v>2593</v>
      </c>
    </row>
    <row r="11" spans="1:5" x14ac:dyDescent="0.25">
      <c r="A11" s="10" t="s">
        <v>2552</v>
      </c>
    </row>
    <row r="12" spans="1:5" x14ac:dyDescent="0.25">
      <c r="A12">
        <v>1</v>
      </c>
      <c r="B12" t="s">
        <v>2554</v>
      </c>
    </row>
    <row r="13" spans="1:5" x14ac:dyDescent="0.25">
      <c r="B13" t="s">
        <v>2553</v>
      </c>
    </row>
    <row r="14" spans="1:5" x14ac:dyDescent="0.25">
      <c r="A14">
        <v>2</v>
      </c>
      <c r="B14" t="s">
        <v>2559</v>
      </c>
    </row>
    <row r="15" spans="1:5" x14ac:dyDescent="0.25">
      <c r="B15" t="s">
        <v>2562</v>
      </c>
      <c r="D15" s="3"/>
      <c r="E15" t="s">
        <v>2563</v>
      </c>
    </row>
    <row r="16" spans="1:5" x14ac:dyDescent="0.25">
      <c r="C16" t="s">
        <v>2564</v>
      </c>
    </row>
    <row r="17" spans="1:3" x14ac:dyDescent="0.25">
      <c r="C17" t="s">
        <v>2565</v>
      </c>
    </row>
    <row r="18" spans="1:3" x14ac:dyDescent="0.25">
      <c r="C18" t="s">
        <v>2566</v>
      </c>
    </row>
    <row r="19" spans="1:3" x14ac:dyDescent="0.25">
      <c r="C19" t="s">
        <v>2567</v>
      </c>
    </row>
    <row r="20" spans="1:3" x14ac:dyDescent="0.25">
      <c r="A20">
        <v>3</v>
      </c>
      <c r="B20" t="s">
        <v>2560</v>
      </c>
    </row>
    <row r="25" spans="1:3" x14ac:dyDescent="0.25">
      <c r="A25" s="10" t="s">
        <v>2586</v>
      </c>
    </row>
    <row r="26" spans="1:3" x14ac:dyDescent="0.25">
      <c r="A26">
        <v>1</v>
      </c>
      <c r="B26" s="11"/>
      <c r="C26" t="s">
        <v>2587</v>
      </c>
    </row>
    <row r="27" spans="1:3" x14ac:dyDescent="0.25">
      <c r="A27">
        <v>2</v>
      </c>
      <c r="B27" s="3"/>
      <c r="C27" t="s">
        <v>2588</v>
      </c>
    </row>
    <row r="28" spans="1:3" x14ac:dyDescent="0.25">
      <c r="A28">
        <v>3</v>
      </c>
      <c r="B28" s="2"/>
      <c r="C28" t="s">
        <v>2589</v>
      </c>
    </row>
    <row r="29" spans="1:3" x14ac:dyDescent="0.25">
      <c r="A29">
        <v>4</v>
      </c>
      <c r="B29" t="s">
        <v>2631</v>
      </c>
    </row>
    <row r="30" spans="1:3" x14ac:dyDescent="0.25">
      <c r="A30">
        <v>5</v>
      </c>
      <c r="B30" t="s">
        <v>2663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2:N84"/>
  <sheetViews>
    <sheetView topLeftCell="A4" workbookViewId="0">
      <selection activeCell="M82" sqref="M82"/>
    </sheetView>
  </sheetViews>
  <sheetFormatPr defaultRowHeight="15" x14ac:dyDescent="0.25"/>
  <cols>
    <col min="2" max="2" width="48.28515625" customWidth="1"/>
  </cols>
  <sheetData>
    <row r="2" spans="1:14" x14ac:dyDescent="0.25">
      <c r="A2" t="s">
        <v>2454</v>
      </c>
      <c r="N2" s="1"/>
    </row>
    <row r="3" spans="1:14" x14ac:dyDescent="0.25">
      <c r="A3" t="s">
        <v>2561</v>
      </c>
    </row>
    <row r="5" spans="1:14" x14ac:dyDescent="0.25">
      <c r="A5" t="s">
        <v>2455</v>
      </c>
    </row>
    <row r="7" spans="1:14" x14ac:dyDescent="0.25">
      <c r="A7" t="s">
        <v>2456</v>
      </c>
    </row>
    <row r="9" spans="1:14" x14ac:dyDescent="0.25">
      <c r="A9" t="s">
        <v>2457</v>
      </c>
    </row>
    <row r="11" spans="1:14" x14ac:dyDescent="0.25">
      <c r="A11" s="3" t="s">
        <v>2611</v>
      </c>
      <c r="B11" s="3"/>
      <c r="C11" s="3"/>
      <c r="D11" s="3"/>
      <c r="E11" s="3"/>
      <c r="F11" s="3"/>
      <c r="G11" s="3"/>
      <c r="H11" s="3"/>
      <c r="L11" t="s">
        <v>2609</v>
      </c>
      <c r="M11" s="3" t="s">
        <v>2610</v>
      </c>
    </row>
    <row r="12" spans="1:14" x14ac:dyDescent="0.25">
      <c r="A12" s="3" t="s">
        <v>2596</v>
      </c>
      <c r="B12" s="3"/>
      <c r="C12" s="3"/>
      <c r="D12" s="3"/>
      <c r="E12" s="3"/>
      <c r="F12" s="3"/>
      <c r="G12" s="3"/>
      <c r="H12" s="3"/>
    </row>
    <row r="13" spans="1:14" x14ac:dyDescent="0.25">
      <c r="A13" t="s">
        <v>2458</v>
      </c>
    </row>
    <row r="14" spans="1:14" x14ac:dyDescent="0.25">
      <c r="A14" t="s">
        <v>2459</v>
      </c>
    </row>
    <row r="15" spans="1:14" hidden="1" x14ac:dyDescent="0.25">
      <c r="A15" t="s">
        <v>2460</v>
      </c>
    </row>
    <row r="16" spans="1:14" hidden="1" x14ac:dyDescent="0.25">
      <c r="A16" t="s">
        <v>2461</v>
      </c>
    </row>
    <row r="17" spans="1:1" hidden="1" x14ac:dyDescent="0.25">
      <c r="A17" t="s">
        <v>2462</v>
      </c>
    </row>
    <row r="18" spans="1:1" hidden="1" x14ac:dyDescent="0.25">
      <c r="A18" t="s">
        <v>2463</v>
      </c>
    </row>
    <row r="19" spans="1:1" hidden="1" x14ac:dyDescent="0.25">
      <c r="A19" t="s">
        <v>2464</v>
      </c>
    </row>
    <row r="20" spans="1:1" hidden="1" x14ac:dyDescent="0.25">
      <c r="A20" t="s">
        <v>2465</v>
      </c>
    </row>
    <row r="21" spans="1:1" hidden="1" x14ac:dyDescent="0.25">
      <c r="A21" t="s">
        <v>2466</v>
      </c>
    </row>
    <row r="22" spans="1:1" hidden="1" x14ac:dyDescent="0.25">
      <c r="A22" t="s">
        <v>2467</v>
      </c>
    </row>
    <row r="23" spans="1:1" hidden="1" x14ac:dyDescent="0.25">
      <c r="A23" t="s">
        <v>2468</v>
      </c>
    </row>
    <row r="24" spans="1:1" hidden="1" x14ac:dyDescent="0.25">
      <c r="A24" t="s">
        <v>2469</v>
      </c>
    </row>
    <row r="25" spans="1:1" hidden="1" x14ac:dyDescent="0.25">
      <c r="A25" t="s">
        <v>2470</v>
      </c>
    </row>
    <row r="26" spans="1:1" hidden="1" x14ac:dyDescent="0.25">
      <c r="A26" t="s">
        <v>2471</v>
      </c>
    </row>
    <row r="27" spans="1:1" hidden="1" x14ac:dyDescent="0.25">
      <c r="A27" t="s">
        <v>2472</v>
      </c>
    </row>
    <row r="28" spans="1:1" hidden="1" x14ac:dyDescent="0.25">
      <c r="A28" t="s">
        <v>2473</v>
      </c>
    </row>
    <row r="29" spans="1:1" hidden="1" x14ac:dyDescent="0.25">
      <c r="A29" t="s">
        <v>2474</v>
      </c>
    </row>
    <row r="30" spans="1:1" hidden="1" x14ac:dyDescent="0.25"/>
    <row r="31" spans="1:1" hidden="1" x14ac:dyDescent="0.25">
      <c r="A31" t="s">
        <v>2475</v>
      </c>
    </row>
    <row r="32" spans="1:1" hidden="1" x14ac:dyDescent="0.25">
      <c r="A32" t="s">
        <v>2476</v>
      </c>
    </row>
    <row r="33" spans="1:1" hidden="1" x14ac:dyDescent="0.25">
      <c r="A33" t="s">
        <v>2477</v>
      </c>
    </row>
    <row r="34" spans="1:1" hidden="1" x14ac:dyDescent="0.25">
      <c r="A34" t="s">
        <v>2478</v>
      </c>
    </row>
    <row r="35" spans="1:1" hidden="1" x14ac:dyDescent="0.25">
      <c r="A35" t="s">
        <v>2479</v>
      </c>
    </row>
    <row r="36" spans="1:1" hidden="1" x14ac:dyDescent="0.25">
      <c r="A36" t="s">
        <v>2480</v>
      </c>
    </row>
    <row r="37" spans="1:1" hidden="1" x14ac:dyDescent="0.25">
      <c r="A37" t="s">
        <v>2481</v>
      </c>
    </row>
    <row r="38" spans="1:1" hidden="1" x14ac:dyDescent="0.25"/>
    <row r="39" spans="1:1" hidden="1" x14ac:dyDescent="0.25">
      <c r="A39" t="s">
        <v>2482</v>
      </c>
    </row>
    <row r="40" spans="1:1" hidden="1" x14ac:dyDescent="0.25">
      <c r="A40" t="s">
        <v>2483</v>
      </c>
    </row>
    <row r="41" spans="1:1" hidden="1" x14ac:dyDescent="0.25">
      <c r="A41" t="s">
        <v>2484</v>
      </c>
    </row>
    <row r="42" spans="1:1" hidden="1" x14ac:dyDescent="0.25"/>
    <row r="43" spans="1:1" hidden="1" x14ac:dyDescent="0.25">
      <c r="A43" t="s">
        <v>2485</v>
      </c>
    </row>
    <row r="44" spans="1:1" hidden="1" x14ac:dyDescent="0.25">
      <c r="A44" t="s">
        <v>2486</v>
      </c>
    </row>
    <row r="45" spans="1:1" hidden="1" x14ac:dyDescent="0.25">
      <c r="A45" t="s">
        <v>2487</v>
      </c>
    </row>
    <row r="46" spans="1:1" hidden="1" x14ac:dyDescent="0.25">
      <c r="A46" t="s">
        <v>2488</v>
      </c>
    </row>
    <row r="47" spans="1:1" hidden="1" x14ac:dyDescent="0.25"/>
    <row r="48" spans="1:1" hidden="1" x14ac:dyDescent="0.25">
      <c r="A48" t="s">
        <v>2489</v>
      </c>
    </row>
    <row r="49" spans="1:1" hidden="1" x14ac:dyDescent="0.25">
      <c r="A49" t="s">
        <v>2490</v>
      </c>
    </row>
    <row r="50" spans="1:1" hidden="1" x14ac:dyDescent="0.25">
      <c r="A50" t="s">
        <v>2491</v>
      </c>
    </row>
    <row r="51" spans="1:1" hidden="1" x14ac:dyDescent="0.25">
      <c r="A51" t="s">
        <v>2492</v>
      </c>
    </row>
    <row r="52" spans="1:1" hidden="1" x14ac:dyDescent="0.25">
      <c r="A52" t="s">
        <v>2493</v>
      </c>
    </row>
    <row r="53" spans="1:1" hidden="1" x14ac:dyDescent="0.25">
      <c r="A53" t="s">
        <v>2494</v>
      </c>
    </row>
    <row r="54" spans="1:1" hidden="1" x14ac:dyDescent="0.25">
      <c r="A54" t="s">
        <v>2495</v>
      </c>
    </row>
    <row r="55" spans="1:1" hidden="1" x14ac:dyDescent="0.25">
      <c r="A55" t="s">
        <v>2496</v>
      </c>
    </row>
    <row r="56" spans="1:1" hidden="1" x14ac:dyDescent="0.25">
      <c r="A56" t="s">
        <v>2497</v>
      </c>
    </row>
    <row r="57" spans="1:1" hidden="1" x14ac:dyDescent="0.25">
      <c r="A57" t="s">
        <v>2498</v>
      </c>
    </row>
    <row r="58" spans="1:1" hidden="1" x14ac:dyDescent="0.25">
      <c r="A58" t="s">
        <v>2499</v>
      </c>
    </row>
    <row r="59" spans="1:1" hidden="1" x14ac:dyDescent="0.25"/>
    <row r="60" spans="1:1" hidden="1" x14ac:dyDescent="0.25">
      <c r="A60" t="s">
        <v>2500</v>
      </c>
    </row>
    <row r="61" spans="1:1" hidden="1" x14ac:dyDescent="0.25">
      <c r="A61" t="s">
        <v>2501</v>
      </c>
    </row>
    <row r="62" spans="1:1" hidden="1" x14ac:dyDescent="0.25"/>
    <row r="63" spans="1:1" x14ac:dyDescent="0.25">
      <c r="A63" t="s">
        <v>2502</v>
      </c>
    </row>
    <row r="65" spans="1:13" x14ac:dyDescent="0.25">
      <c r="A65" t="s">
        <v>2503</v>
      </c>
      <c r="L65" s="10" t="s">
        <v>2607</v>
      </c>
    </row>
    <row r="66" spans="1:13" x14ac:dyDescent="0.25">
      <c r="A66" s="2"/>
    </row>
    <row r="67" spans="1:13" x14ac:dyDescent="0.25">
      <c r="A67" s="2" t="s">
        <v>2504</v>
      </c>
      <c r="L67" t="s">
        <v>2504</v>
      </c>
    </row>
    <row r="68" spans="1:13" x14ac:dyDescent="0.25">
      <c r="A68" s="6">
        <v>3615003</v>
      </c>
      <c r="L68">
        <v>4726001</v>
      </c>
    </row>
    <row r="69" spans="1:13" x14ac:dyDescent="0.25">
      <c r="A69" s="2" t="s">
        <v>2505</v>
      </c>
      <c r="L69" s="8">
        <v>19300101</v>
      </c>
    </row>
    <row r="70" spans="1:13" x14ac:dyDescent="0.25">
      <c r="A70" s="2" t="s">
        <v>2506</v>
      </c>
      <c r="L70" s="13" t="s">
        <v>2608</v>
      </c>
    </row>
    <row r="71" spans="1:13" x14ac:dyDescent="0.25">
      <c r="A71" s="2" t="s">
        <v>2507</v>
      </c>
      <c r="L71" s="8">
        <v>20140701</v>
      </c>
    </row>
    <row r="72" spans="1:13" x14ac:dyDescent="0.25">
      <c r="A72" s="2" t="s">
        <v>2541</v>
      </c>
      <c r="L72" s="8">
        <v>240000</v>
      </c>
    </row>
    <row r="73" spans="1:13" x14ac:dyDescent="0.25">
      <c r="A73" s="2" t="s">
        <v>2508</v>
      </c>
      <c r="L73" t="s">
        <v>2506</v>
      </c>
    </row>
    <row r="74" spans="1:13" x14ac:dyDescent="0.25">
      <c r="A74" s="2" t="s">
        <v>2509</v>
      </c>
      <c r="L74" t="s">
        <v>2507</v>
      </c>
    </row>
    <row r="75" spans="1:13" x14ac:dyDescent="0.25">
      <c r="A75" s="2" t="s">
        <v>2605</v>
      </c>
      <c r="H75" t="s">
        <v>2523</v>
      </c>
      <c r="L75" t="s">
        <v>2541</v>
      </c>
    </row>
    <row r="76" spans="1:13" x14ac:dyDescent="0.25">
      <c r="A76" s="2" t="s">
        <v>2511</v>
      </c>
      <c r="H76" t="s">
        <v>2524</v>
      </c>
      <c r="L76" t="s">
        <v>2508</v>
      </c>
    </row>
    <row r="77" spans="1:13" x14ac:dyDescent="0.25">
      <c r="A77" s="3" t="s">
        <v>2512</v>
      </c>
      <c r="B77" s="3"/>
      <c r="H77" t="s">
        <v>2522</v>
      </c>
      <c r="L77" t="s">
        <v>2509</v>
      </c>
    </row>
    <row r="78" spans="1:13" x14ac:dyDescent="0.25">
      <c r="A78" s="3" t="s">
        <v>2513</v>
      </c>
      <c r="H78" t="s">
        <v>2521</v>
      </c>
      <c r="L78" t="s">
        <v>2605</v>
      </c>
    </row>
    <row r="79" spans="1:13" x14ac:dyDescent="0.25">
      <c r="A79" s="3" t="s">
        <v>2514</v>
      </c>
      <c r="H79" t="s">
        <v>2519</v>
      </c>
      <c r="L79" t="s">
        <v>2513</v>
      </c>
      <c r="M79" s="9"/>
    </row>
    <row r="80" spans="1:13" x14ac:dyDescent="0.25">
      <c r="A80" s="3" t="s">
        <v>2515</v>
      </c>
      <c r="H80" t="s">
        <v>2520</v>
      </c>
      <c r="L80" t="s">
        <v>2514</v>
      </c>
    </row>
    <row r="81" spans="1:13" x14ac:dyDescent="0.25">
      <c r="A81" s="3" t="s">
        <v>2606</v>
      </c>
      <c r="B81" s="3"/>
      <c r="H81" t="s">
        <v>2518</v>
      </c>
      <c r="J81" t="s">
        <v>2551</v>
      </c>
      <c r="L81" t="s">
        <v>2515</v>
      </c>
    </row>
    <row r="82" spans="1:13" x14ac:dyDescent="0.25">
      <c r="A82" s="2" t="s">
        <v>2499</v>
      </c>
      <c r="L82" s="3" t="s">
        <v>2599</v>
      </c>
      <c r="M82" s="3" t="s">
        <v>2583</v>
      </c>
    </row>
    <row r="83" spans="1:13" x14ac:dyDescent="0.25">
      <c r="A83" s="2"/>
      <c r="L83" t="s">
        <v>2499</v>
      </c>
    </row>
    <row r="84" spans="1:13" x14ac:dyDescent="0.25">
      <c r="A84" s="2" t="s">
        <v>2516</v>
      </c>
      <c r="B84" s="4" t="str">
        <f>"F:\TIDEDA\Extracted\movmax\movmax"  &amp; "_" &amp; M11 &amp; "_" &amp; M82</f>
        <v>F:\TIDEDA\Extracted\movmax\movmax_Kemaman3auto_1 d</v>
      </c>
      <c r="C84" s="5" t="s">
        <v>2517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DEDA_movingmax" altText="Generate TIDEDA Script">
                <anchor moveWithCells="1" sizeWithCells="1">
                  <from>
                    <xdr:col>5</xdr:col>
                    <xdr:colOff>523875</xdr:colOff>
                    <xdr:row>85</xdr:row>
                    <xdr:rowOff>47625</xdr:rowOff>
                  </from>
                  <to>
                    <xdr:col>9</xdr:col>
                    <xdr:colOff>466725</xdr:colOff>
                    <xdr:row>87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6" tint="0.59999389629810485"/>
  </sheetPr>
  <dimension ref="A2:O87"/>
  <sheetViews>
    <sheetView topLeftCell="A10" workbookViewId="0">
      <selection activeCell="G68" sqref="G68"/>
    </sheetView>
  </sheetViews>
  <sheetFormatPr defaultRowHeight="15" x14ac:dyDescent="0.25"/>
  <cols>
    <col min="1" max="1" width="11.28515625" customWidth="1"/>
    <col min="2" max="2" width="14.28515625" customWidth="1"/>
    <col min="7" max="7" width="11.7109375" customWidth="1"/>
  </cols>
  <sheetData>
    <row r="2" spans="1:14" x14ac:dyDescent="0.25">
      <c r="A2" t="s">
        <v>2454</v>
      </c>
      <c r="N2" s="1"/>
    </row>
    <row r="3" spans="1:14" x14ac:dyDescent="0.25">
      <c r="A3" t="s">
        <v>2561</v>
      </c>
    </row>
    <row r="5" spans="1:14" x14ac:dyDescent="0.25">
      <c r="A5" t="s">
        <v>2455</v>
      </c>
    </row>
    <row r="7" spans="1:14" x14ac:dyDescent="0.25">
      <c r="A7" t="s">
        <v>2456</v>
      </c>
    </row>
    <row r="9" spans="1:14" x14ac:dyDescent="0.25">
      <c r="A9" t="s">
        <v>2457</v>
      </c>
    </row>
    <row r="11" spans="1:14" x14ac:dyDescent="0.25">
      <c r="A11" s="12" t="s">
        <v>2595</v>
      </c>
      <c r="B11" s="12"/>
      <c r="C11" s="12"/>
      <c r="D11" s="12"/>
      <c r="E11" s="12"/>
      <c r="F11" s="12"/>
      <c r="G11" s="12"/>
      <c r="H11" s="12"/>
    </row>
    <row r="12" spans="1:14" x14ac:dyDescent="0.25">
      <c r="A12" s="12" t="s">
        <v>2596</v>
      </c>
      <c r="B12" s="12"/>
      <c r="C12" s="12"/>
      <c r="D12" s="12"/>
      <c r="E12" s="12"/>
      <c r="F12" s="12"/>
      <c r="G12" s="12"/>
      <c r="H12" s="12"/>
    </row>
    <row r="13" spans="1:14" x14ac:dyDescent="0.25">
      <c r="A13" t="s">
        <v>2458</v>
      </c>
    </row>
    <row r="14" spans="1:14" x14ac:dyDescent="0.25">
      <c r="A14" t="s">
        <v>2459</v>
      </c>
    </row>
    <row r="15" spans="1:14" hidden="1" x14ac:dyDescent="0.25">
      <c r="A15" t="s">
        <v>2460</v>
      </c>
    </row>
    <row r="16" spans="1:14" hidden="1" x14ac:dyDescent="0.25">
      <c r="A16" t="s">
        <v>2461</v>
      </c>
    </row>
    <row r="17" spans="1:1" hidden="1" x14ac:dyDescent="0.25">
      <c r="A17" t="s">
        <v>2462</v>
      </c>
    </row>
    <row r="18" spans="1:1" hidden="1" x14ac:dyDescent="0.25">
      <c r="A18" t="s">
        <v>2463</v>
      </c>
    </row>
    <row r="19" spans="1:1" hidden="1" x14ac:dyDescent="0.25">
      <c r="A19" t="s">
        <v>2464</v>
      </c>
    </row>
    <row r="20" spans="1:1" hidden="1" x14ac:dyDescent="0.25">
      <c r="A20" t="s">
        <v>2465</v>
      </c>
    </row>
    <row r="21" spans="1:1" hidden="1" x14ac:dyDescent="0.25">
      <c r="A21" t="s">
        <v>2466</v>
      </c>
    </row>
    <row r="22" spans="1:1" hidden="1" x14ac:dyDescent="0.25">
      <c r="A22" t="s">
        <v>2467</v>
      </c>
    </row>
    <row r="23" spans="1:1" hidden="1" x14ac:dyDescent="0.25">
      <c r="A23" t="s">
        <v>2468</v>
      </c>
    </row>
    <row r="24" spans="1:1" hidden="1" x14ac:dyDescent="0.25">
      <c r="A24" t="s">
        <v>2469</v>
      </c>
    </row>
    <row r="25" spans="1:1" hidden="1" x14ac:dyDescent="0.25">
      <c r="A25" t="s">
        <v>2470</v>
      </c>
    </row>
    <row r="26" spans="1:1" hidden="1" x14ac:dyDescent="0.25">
      <c r="A26" t="s">
        <v>2471</v>
      </c>
    </row>
    <row r="27" spans="1:1" hidden="1" x14ac:dyDescent="0.25">
      <c r="A27" t="s">
        <v>2472</v>
      </c>
    </row>
    <row r="28" spans="1:1" hidden="1" x14ac:dyDescent="0.25">
      <c r="A28" t="s">
        <v>2473</v>
      </c>
    </row>
    <row r="29" spans="1:1" hidden="1" x14ac:dyDescent="0.25">
      <c r="A29" t="s">
        <v>2474</v>
      </c>
    </row>
    <row r="30" spans="1:1" hidden="1" x14ac:dyDescent="0.25"/>
    <row r="31" spans="1:1" hidden="1" x14ac:dyDescent="0.25">
      <c r="A31" t="s">
        <v>2475</v>
      </c>
    </row>
    <row r="32" spans="1:1" hidden="1" x14ac:dyDescent="0.25">
      <c r="A32" t="s">
        <v>2476</v>
      </c>
    </row>
    <row r="33" spans="1:1" hidden="1" x14ac:dyDescent="0.25">
      <c r="A33" t="s">
        <v>2477</v>
      </c>
    </row>
    <row r="34" spans="1:1" hidden="1" x14ac:dyDescent="0.25">
      <c r="A34" t="s">
        <v>2478</v>
      </c>
    </row>
    <row r="35" spans="1:1" hidden="1" x14ac:dyDescent="0.25">
      <c r="A35" t="s">
        <v>2479</v>
      </c>
    </row>
    <row r="36" spans="1:1" hidden="1" x14ac:dyDescent="0.25">
      <c r="A36" t="s">
        <v>2480</v>
      </c>
    </row>
    <row r="37" spans="1:1" hidden="1" x14ac:dyDescent="0.25">
      <c r="A37" t="s">
        <v>2481</v>
      </c>
    </row>
    <row r="38" spans="1:1" hidden="1" x14ac:dyDescent="0.25"/>
    <row r="39" spans="1:1" hidden="1" x14ac:dyDescent="0.25">
      <c r="A39" t="s">
        <v>2482</v>
      </c>
    </row>
    <row r="40" spans="1:1" hidden="1" x14ac:dyDescent="0.25">
      <c r="A40" t="s">
        <v>2483</v>
      </c>
    </row>
    <row r="41" spans="1:1" hidden="1" x14ac:dyDescent="0.25">
      <c r="A41" t="s">
        <v>2484</v>
      </c>
    </row>
    <row r="42" spans="1:1" hidden="1" x14ac:dyDescent="0.25"/>
    <row r="43" spans="1:1" hidden="1" x14ac:dyDescent="0.25">
      <c r="A43" t="s">
        <v>2485</v>
      </c>
    </row>
    <row r="44" spans="1:1" hidden="1" x14ac:dyDescent="0.25">
      <c r="A44" t="s">
        <v>2486</v>
      </c>
    </row>
    <row r="45" spans="1:1" hidden="1" x14ac:dyDescent="0.25">
      <c r="A45" t="s">
        <v>2487</v>
      </c>
    </row>
    <row r="46" spans="1:1" hidden="1" x14ac:dyDescent="0.25">
      <c r="A46" t="s">
        <v>2488</v>
      </c>
    </row>
    <row r="47" spans="1:1" hidden="1" x14ac:dyDescent="0.25"/>
    <row r="48" spans="1:1" hidden="1" x14ac:dyDescent="0.25">
      <c r="A48" t="s">
        <v>2489</v>
      </c>
    </row>
    <row r="49" spans="1:1" hidden="1" x14ac:dyDescent="0.25">
      <c r="A49" t="s">
        <v>2490</v>
      </c>
    </row>
    <row r="50" spans="1:1" hidden="1" x14ac:dyDescent="0.25">
      <c r="A50" t="s">
        <v>2491</v>
      </c>
    </row>
    <row r="51" spans="1:1" hidden="1" x14ac:dyDescent="0.25">
      <c r="A51" t="s">
        <v>2492</v>
      </c>
    </row>
    <row r="52" spans="1:1" hidden="1" x14ac:dyDescent="0.25">
      <c r="A52" t="s">
        <v>2493</v>
      </c>
    </row>
    <row r="53" spans="1:1" hidden="1" x14ac:dyDescent="0.25">
      <c r="A53" t="s">
        <v>2494</v>
      </c>
    </row>
    <row r="54" spans="1:1" hidden="1" x14ac:dyDescent="0.25">
      <c r="A54" t="s">
        <v>2495</v>
      </c>
    </row>
    <row r="55" spans="1:1" hidden="1" x14ac:dyDescent="0.25">
      <c r="A55" t="s">
        <v>2496</v>
      </c>
    </row>
    <row r="56" spans="1:1" hidden="1" x14ac:dyDescent="0.25">
      <c r="A56" t="s">
        <v>2497</v>
      </c>
    </row>
    <row r="57" spans="1:1" hidden="1" x14ac:dyDescent="0.25">
      <c r="A57" t="s">
        <v>2498</v>
      </c>
    </row>
    <row r="58" spans="1:1" hidden="1" x14ac:dyDescent="0.25">
      <c r="A58" t="s">
        <v>2499</v>
      </c>
    </row>
    <row r="59" spans="1:1" hidden="1" x14ac:dyDescent="0.25"/>
    <row r="60" spans="1:1" hidden="1" x14ac:dyDescent="0.25">
      <c r="A60" t="s">
        <v>2500</v>
      </c>
    </row>
    <row r="61" spans="1:1" hidden="1" x14ac:dyDescent="0.25">
      <c r="A61" t="s">
        <v>2501</v>
      </c>
    </row>
    <row r="62" spans="1:1" hidden="1" x14ac:dyDescent="0.25"/>
    <row r="63" spans="1:1" x14ac:dyDescent="0.25">
      <c r="A63" t="s">
        <v>2502</v>
      </c>
    </row>
    <row r="65" spans="1:15" x14ac:dyDescent="0.25">
      <c r="A65" t="s">
        <v>2503</v>
      </c>
      <c r="G65" s="10" t="s">
        <v>2550</v>
      </c>
      <c r="M65" s="10" t="s">
        <v>2572</v>
      </c>
    </row>
    <row r="66" spans="1:15" x14ac:dyDescent="0.25">
      <c r="A66" s="2"/>
      <c r="G66" s="2"/>
      <c r="M66" s="3" t="s">
        <v>2571</v>
      </c>
      <c r="O66" t="s">
        <v>2573</v>
      </c>
    </row>
    <row r="67" spans="1:15" x14ac:dyDescent="0.25">
      <c r="A67" s="2" t="s">
        <v>2504</v>
      </c>
      <c r="G67" s="2" t="s">
        <v>2504</v>
      </c>
      <c r="M67" s="3" t="s">
        <v>2580</v>
      </c>
      <c r="O67" t="s">
        <v>2574</v>
      </c>
    </row>
    <row r="68" spans="1:15" x14ac:dyDescent="0.25">
      <c r="A68" s="8">
        <v>3117070</v>
      </c>
      <c r="G68" s="8">
        <v>4726001</v>
      </c>
      <c r="M68" s="3" t="s">
        <v>2581</v>
      </c>
      <c r="O68" t="s">
        <v>2575</v>
      </c>
    </row>
    <row r="69" spans="1:15" x14ac:dyDescent="0.25">
      <c r="A69" s="2" t="s">
        <v>2505</v>
      </c>
      <c r="C69" t="s">
        <v>2594</v>
      </c>
      <c r="G69" s="8">
        <v>19691231</v>
      </c>
      <c r="H69" t="s">
        <v>2568</v>
      </c>
      <c r="M69" s="3" t="s">
        <v>2582</v>
      </c>
      <c r="O69" t="s">
        <v>2576</v>
      </c>
    </row>
    <row r="70" spans="1:15" x14ac:dyDescent="0.25">
      <c r="A70" s="2" t="s">
        <v>2506</v>
      </c>
      <c r="G70" s="8">
        <v>240000</v>
      </c>
      <c r="H70" t="s">
        <v>2612</v>
      </c>
      <c r="M70" s="3" t="s">
        <v>2628</v>
      </c>
      <c r="O70" t="s">
        <v>2577</v>
      </c>
    </row>
    <row r="71" spans="1:15" x14ac:dyDescent="0.25">
      <c r="A71" s="2" t="s">
        <v>2507</v>
      </c>
      <c r="G71" s="8">
        <v>19791231</v>
      </c>
      <c r="H71" t="s">
        <v>2569</v>
      </c>
      <c r="M71" s="3" t="s">
        <v>2583</v>
      </c>
      <c r="O71" t="s">
        <v>2571</v>
      </c>
    </row>
    <row r="72" spans="1:15" x14ac:dyDescent="0.25">
      <c r="A72" s="2" t="s">
        <v>2541</v>
      </c>
      <c r="G72" s="8">
        <v>240000</v>
      </c>
      <c r="H72" t="s">
        <v>2570</v>
      </c>
      <c r="M72" s="3" t="s">
        <v>2627</v>
      </c>
      <c r="O72" t="s">
        <v>2579</v>
      </c>
    </row>
    <row r="73" spans="1:15" x14ac:dyDescent="0.25">
      <c r="A73" s="2" t="s">
        <v>2508</v>
      </c>
      <c r="G73" s="2" t="s">
        <v>2506</v>
      </c>
      <c r="M73" s="3" t="s">
        <v>2578</v>
      </c>
      <c r="O73" t="s">
        <v>2580</v>
      </c>
    </row>
    <row r="74" spans="1:15" x14ac:dyDescent="0.25">
      <c r="A74" s="2" t="s">
        <v>2509</v>
      </c>
      <c r="G74" s="2" t="s">
        <v>2507</v>
      </c>
      <c r="M74" s="3" t="s">
        <v>2629</v>
      </c>
      <c r="O74" t="s">
        <v>2581</v>
      </c>
    </row>
    <row r="75" spans="1:15" x14ac:dyDescent="0.25">
      <c r="A75" s="2" t="s">
        <v>2510</v>
      </c>
      <c r="C75" t="s">
        <v>2523</v>
      </c>
      <c r="G75" s="2" t="s">
        <v>2541</v>
      </c>
      <c r="M75" s="3" t="s">
        <v>2630</v>
      </c>
      <c r="O75" t="s">
        <v>2585</v>
      </c>
    </row>
    <row r="76" spans="1:15" x14ac:dyDescent="0.25">
      <c r="A76" s="2" t="s">
        <v>2511</v>
      </c>
      <c r="C76" t="s">
        <v>2524</v>
      </c>
      <c r="G76" s="2" t="s">
        <v>2508</v>
      </c>
      <c r="M76" s="3"/>
      <c r="O76" t="s">
        <v>2582</v>
      </c>
    </row>
    <row r="77" spans="1:15" x14ac:dyDescent="0.25">
      <c r="A77" s="2" t="s">
        <v>2619</v>
      </c>
      <c r="B77" s="8">
        <v>5</v>
      </c>
      <c r="C77" t="s">
        <v>2522</v>
      </c>
      <c r="G77" s="2" t="s">
        <v>2509</v>
      </c>
      <c r="M77" s="3"/>
      <c r="O77" t="s">
        <v>2583</v>
      </c>
    </row>
    <row r="78" spans="1:15" x14ac:dyDescent="0.25">
      <c r="A78" s="2" t="s">
        <v>2600</v>
      </c>
      <c r="B78" s="8">
        <v>1</v>
      </c>
      <c r="C78" t="s">
        <v>2521</v>
      </c>
      <c r="G78" s="2" t="s">
        <v>2510</v>
      </c>
      <c r="M78" s="3"/>
      <c r="O78" t="s">
        <v>2627</v>
      </c>
    </row>
    <row r="79" spans="1:15" x14ac:dyDescent="0.25">
      <c r="A79" s="2" t="s">
        <v>2603</v>
      </c>
      <c r="B79" s="8">
        <v>1</v>
      </c>
      <c r="C79" t="s">
        <v>2519</v>
      </c>
      <c r="G79" s="2" t="s">
        <v>2511</v>
      </c>
      <c r="M79" s="3"/>
      <c r="O79" t="s">
        <v>2578</v>
      </c>
    </row>
    <row r="80" spans="1:15" x14ac:dyDescent="0.25">
      <c r="A80" s="2" t="s">
        <v>2604</v>
      </c>
      <c r="B80" s="8">
        <v>0</v>
      </c>
      <c r="C80" t="s">
        <v>2520</v>
      </c>
      <c r="G80" s="2" t="s">
        <v>2619</v>
      </c>
      <c r="H80" s="8">
        <v>5</v>
      </c>
    </row>
    <row r="81" spans="1:11" x14ac:dyDescent="0.25">
      <c r="A81" s="2" t="s">
        <v>2584</v>
      </c>
      <c r="B81" s="6" t="s">
        <v>2571</v>
      </c>
      <c r="C81" t="s">
        <v>2518</v>
      </c>
      <c r="E81" t="s">
        <v>2551</v>
      </c>
      <c r="G81" s="2" t="s">
        <v>2600</v>
      </c>
      <c r="H81" s="8">
        <v>1</v>
      </c>
    </row>
    <row r="82" spans="1:11" x14ac:dyDescent="0.25">
      <c r="A82" s="2" t="s">
        <v>2499</v>
      </c>
      <c r="G82" s="2" t="s">
        <v>2603</v>
      </c>
      <c r="H82" s="8">
        <v>1</v>
      </c>
    </row>
    <row r="83" spans="1:11" x14ac:dyDescent="0.25">
      <c r="A83" s="2"/>
      <c r="G83" s="2" t="s">
        <v>2604</v>
      </c>
      <c r="H83" s="8">
        <v>0</v>
      </c>
    </row>
    <row r="84" spans="1:11" x14ac:dyDescent="0.25">
      <c r="A84" s="12" t="s">
        <v>2516</v>
      </c>
      <c r="B84" s="31" t="str">
        <f>"F:\TIDEDA\"</f>
        <v>F:\TIDEDA\</v>
      </c>
      <c r="C84" s="31" t="str">
        <f>"movmax_"&amp;A68&amp;".txt"</f>
        <v>movmax_3117070.txt</v>
      </c>
      <c r="D84" s="12"/>
      <c r="E84" s="12"/>
      <c r="F84" s="9"/>
      <c r="G84" s="2" t="s">
        <v>2584</v>
      </c>
      <c r="H84" s="6" t="s">
        <v>2571</v>
      </c>
    </row>
    <row r="85" spans="1:11" x14ac:dyDescent="0.25">
      <c r="G85" s="2" t="s">
        <v>2499</v>
      </c>
    </row>
    <row r="86" spans="1:11" x14ac:dyDescent="0.25">
      <c r="G86" s="2"/>
    </row>
    <row r="87" spans="1:11" x14ac:dyDescent="0.25">
      <c r="G87" s="12" t="s">
        <v>2516</v>
      </c>
      <c r="H87" s="31" t="str">
        <f>"F:\TIDEDA\"</f>
        <v>F:\TIDEDA\</v>
      </c>
      <c r="I87" s="31" t="str">
        <f>"movmax_"&amp;G68&amp;".txt"</f>
        <v>movmax_4726001.txt</v>
      </c>
      <c r="J87" s="12"/>
      <c r="K87" s="1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IDEDA_movingmax_stn" altText="Generate TIDEDA Script">
                <anchor moveWithCells="1" sizeWithCells="1">
                  <from>
                    <xdr:col>0</xdr:col>
                    <xdr:colOff>361950</xdr:colOff>
                    <xdr:row>88</xdr:row>
                    <xdr:rowOff>133350</xdr:rowOff>
                  </from>
                  <to>
                    <xdr:col>2</xdr:col>
                    <xdr:colOff>438150</xdr:colOff>
                    <xdr:row>91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IDEDA_movingmax_stn_datetime" altText="Generate TIDEDA Script">
                <anchor moveWithCells="1" sizeWithCells="1">
                  <from>
                    <xdr:col>8</xdr:col>
                    <xdr:colOff>180975</xdr:colOff>
                    <xdr:row>88</xdr:row>
                    <xdr:rowOff>161925</xdr:rowOff>
                  </from>
                  <to>
                    <xdr:col>11</xdr:col>
                    <xdr:colOff>133350</xdr:colOff>
                    <xdr:row>91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 tint="0.59999389629810485"/>
  </sheetPr>
  <dimension ref="A1:G87"/>
  <sheetViews>
    <sheetView topLeftCell="A4" workbookViewId="0">
      <selection activeCell="A67" sqref="A67"/>
    </sheetView>
  </sheetViews>
  <sheetFormatPr defaultRowHeight="15" x14ac:dyDescent="0.25"/>
  <sheetData>
    <row r="1" spans="1:7" x14ac:dyDescent="0.25">
      <c r="A1" s="2"/>
    </row>
    <row r="2" spans="1:7" x14ac:dyDescent="0.25">
      <c r="A2" s="2" t="s">
        <v>2454</v>
      </c>
    </row>
    <row r="3" spans="1:7" x14ac:dyDescent="0.25">
      <c r="A3" s="2" t="s">
        <v>2614</v>
      </c>
    </row>
    <row r="4" spans="1:7" x14ac:dyDescent="0.25">
      <c r="A4" s="2"/>
    </row>
    <row r="5" spans="1:7" x14ac:dyDescent="0.25">
      <c r="A5" s="2" t="s">
        <v>2455</v>
      </c>
    </row>
    <row r="6" spans="1:7" x14ac:dyDescent="0.25">
      <c r="A6" s="2"/>
    </row>
    <row r="7" spans="1:7" x14ac:dyDescent="0.25">
      <c r="A7" s="2" t="s">
        <v>2456</v>
      </c>
    </row>
    <row r="8" spans="1:7" x14ac:dyDescent="0.25">
      <c r="A8" s="2"/>
    </row>
    <row r="9" spans="1:7" x14ac:dyDescent="0.25">
      <c r="A9" s="2" t="s">
        <v>2457</v>
      </c>
    </row>
    <row r="10" spans="1:7" x14ac:dyDescent="0.25">
      <c r="A10" s="2"/>
    </row>
    <row r="11" spans="1:7" x14ac:dyDescent="0.25">
      <c r="A11" s="2" t="s">
        <v>2620</v>
      </c>
      <c r="B11" s="12" t="s">
        <v>2621</v>
      </c>
      <c r="C11" s="12"/>
      <c r="D11" s="12"/>
      <c r="E11" s="12"/>
      <c r="F11" s="12"/>
      <c r="G11" s="12"/>
    </row>
    <row r="12" spans="1:7" x14ac:dyDescent="0.25">
      <c r="A12" s="2" t="s">
        <v>2622</v>
      </c>
      <c r="B12" s="12" t="s">
        <v>2623</v>
      </c>
      <c r="C12" s="12"/>
      <c r="D12" s="12"/>
      <c r="E12" s="12"/>
      <c r="F12" s="12"/>
      <c r="G12" s="12"/>
    </row>
    <row r="13" spans="1:7" x14ac:dyDescent="0.25">
      <c r="A13" s="3" t="s">
        <v>2525</v>
      </c>
      <c r="B13" s="3"/>
    </row>
    <row r="14" spans="1:7" hidden="1" x14ac:dyDescent="0.25">
      <c r="A14" s="2" t="s">
        <v>2459</v>
      </c>
    </row>
    <row r="15" spans="1:7" hidden="1" x14ac:dyDescent="0.25">
      <c r="A15" s="2" t="s">
        <v>2460</v>
      </c>
    </row>
    <row r="16" spans="1:7" hidden="1" x14ac:dyDescent="0.25">
      <c r="A16" s="2" t="s">
        <v>2461</v>
      </c>
    </row>
    <row r="17" spans="1:1" hidden="1" x14ac:dyDescent="0.25">
      <c r="A17" s="2" t="s">
        <v>2462</v>
      </c>
    </row>
    <row r="18" spans="1:1" hidden="1" x14ac:dyDescent="0.25">
      <c r="A18" s="2" t="s">
        <v>2463</v>
      </c>
    </row>
    <row r="19" spans="1:1" hidden="1" x14ac:dyDescent="0.25">
      <c r="A19" s="2" t="s">
        <v>2464</v>
      </c>
    </row>
    <row r="20" spans="1:1" hidden="1" x14ac:dyDescent="0.25">
      <c r="A20" s="2" t="s">
        <v>2465</v>
      </c>
    </row>
    <row r="21" spans="1:1" hidden="1" x14ac:dyDescent="0.25">
      <c r="A21" s="2" t="s">
        <v>2466</v>
      </c>
    </row>
    <row r="22" spans="1:1" hidden="1" x14ac:dyDescent="0.25">
      <c r="A22" s="2" t="s">
        <v>2467</v>
      </c>
    </row>
    <row r="23" spans="1:1" hidden="1" x14ac:dyDescent="0.25">
      <c r="A23" s="2" t="s">
        <v>2468</v>
      </c>
    </row>
    <row r="24" spans="1:1" hidden="1" x14ac:dyDescent="0.25">
      <c r="A24" s="2" t="s">
        <v>2469</v>
      </c>
    </row>
    <row r="25" spans="1:1" hidden="1" x14ac:dyDescent="0.25">
      <c r="A25" s="2" t="s">
        <v>2470</v>
      </c>
    </row>
    <row r="26" spans="1:1" hidden="1" x14ac:dyDescent="0.25">
      <c r="A26" s="2" t="s">
        <v>2471</v>
      </c>
    </row>
    <row r="27" spans="1:1" hidden="1" x14ac:dyDescent="0.25">
      <c r="A27" s="2" t="s">
        <v>2472</v>
      </c>
    </row>
    <row r="28" spans="1:1" hidden="1" x14ac:dyDescent="0.25">
      <c r="A28" s="2" t="s">
        <v>2473</v>
      </c>
    </row>
    <row r="29" spans="1:1" hidden="1" x14ac:dyDescent="0.25">
      <c r="A29" s="2" t="s">
        <v>2474</v>
      </c>
    </row>
    <row r="30" spans="1:1" hidden="1" x14ac:dyDescent="0.25">
      <c r="A30" s="2"/>
    </row>
    <row r="31" spans="1:1" hidden="1" x14ac:dyDescent="0.25">
      <c r="A31" s="2" t="s">
        <v>2475</v>
      </c>
    </row>
    <row r="32" spans="1:1" hidden="1" x14ac:dyDescent="0.25">
      <c r="A32" s="2" t="s">
        <v>2476</v>
      </c>
    </row>
    <row r="33" spans="1:1" hidden="1" x14ac:dyDescent="0.25">
      <c r="A33" s="2" t="s">
        <v>2477</v>
      </c>
    </row>
    <row r="34" spans="1:1" hidden="1" x14ac:dyDescent="0.25">
      <c r="A34" s="2" t="s">
        <v>2478</v>
      </c>
    </row>
    <row r="35" spans="1:1" hidden="1" x14ac:dyDescent="0.25">
      <c r="A35" s="2" t="s">
        <v>2479</v>
      </c>
    </row>
    <row r="36" spans="1:1" hidden="1" x14ac:dyDescent="0.25">
      <c r="A36" s="2" t="s">
        <v>2480</v>
      </c>
    </row>
    <row r="37" spans="1:1" hidden="1" x14ac:dyDescent="0.25">
      <c r="A37" s="2" t="s">
        <v>2481</v>
      </c>
    </row>
    <row r="38" spans="1:1" hidden="1" x14ac:dyDescent="0.25">
      <c r="A38" s="2"/>
    </row>
    <row r="39" spans="1:1" hidden="1" x14ac:dyDescent="0.25">
      <c r="A39" s="2" t="s">
        <v>2482</v>
      </c>
    </row>
    <row r="40" spans="1:1" hidden="1" x14ac:dyDescent="0.25">
      <c r="A40" s="2" t="s">
        <v>2483</v>
      </c>
    </row>
    <row r="41" spans="1:1" hidden="1" x14ac:dyDescent="0.25">
      <c r="A41" s="2" t="s">
        <v>2484</v>
      </c>
    </row>
    <row r="42" spans="1:1" hidden="1" x14ac:dyDescent="0.25">
      <c r="A42" s="2"/>
    </row>
    <row r="43" spans="1:1" hidden="1" x14ac:dyDescent="0.25">
      <c r="A43" s="2" t="s">
        <v>2485</v>
      </c>
    </row>
    <row r="44" spans="1:1" hidden="1" x14ac:dyDescent="0.25">
      <c r="A44" s="2" t="s">
        <v>2486</v>
      </c>
    </row>
    <row r="45" spans="1:1" hidden="1" x14ac:dyDescent="0.25">
      <c r="A45" s="2" t="s">
        <v>2487</v>
      </c>
    </row>
    <row r="46" spans="1:1" hidden="1" x14ac:dyDescent="0.25">
      <c r="A46" s="2" t="s">
        <v>2488</v>
      </c>
    </row>
    <row r="47" spans="1:1" hidden="1" x14ac:dyDescent="0.25">
      <c r="A47" s="2"/>
    </row>
    <row r="48" spans="1:1" hidden="1" x14ac:dyDescent="0.25">
      <c r="A48" s="2" t="s">
        <v>2489</v>
      </c>
    </row>
    <row r="49" spans="1:1" hidden="1" x14ac:dyDescent="0.25">
      <c r="A49" s="2" t="s">
        <v>2615</v>
      </c>
    </row>
    <row r="50" spans="1:1" hidden="1" x14ac:dyDescent="0.25">
      <c r="A50" s="2" t="s">
        <v>2616</v>
      </c>
    </row>
    <row r="51" spans="1:1" hidden="1" x14ac:dyDescent="0.25">
      <c r="A51" s="2" t="s">
        <v>2492</v>
      </c>
    </row>
    <row r="52" spans="1:1" hidden="1" x14ac:dyDescent="0.25">
      <c r="A52" s="2" t="s">
        <v>2539</v>
      </c>
    </row>
    <row r="53" spans="1:1" hidden="1" x14ac:dyDescent="0.25">
      <c r="A53" s="2" t="s">
        <v>2617</v>
      </c>
    </row>
    <row r="54" spans="1:1" hidden="1" x14ac:dyDescent="0.25">
      <c r="A54" s="2" t="s">
        <v>2495</v>
      </c>
    </row>
    <row r="55" spans="1:1" hidden="1" x14ac:dyDescent="0.25">
      <c r="A55" s="2" t="s">
        <v>2618</v>
      </c>
    </row>
    <row r="56" spans="1:1" hidden="1" x14ac:dyDescent="0.25">
      <c r="A56" s="2" t="s">
        <v>2497</v>
      </c>
    </row>
    <row r="57" spans="1:1" hidden="1" x14ac:dyDescent="0.25">
      <c r="A57" s="2" t="s">
        <v>2498</v>
      </c>
    </row>
    <row r="58" spans="1:1" hidden="1" x14ac:dyDescent="0.25">
      <c r="A58" s="2" t="s">
        <v>2499</v>
      </c>
    </row>
    <row r="59" spans="1:1" hidden="1" x14ac:dyDescent="0.25">
      <c r="A59" s="2"/>
    </row>
    <row r="60" spans="1:1" hidden="1" x14ac:dyDescent="0.25">
      <c r="A60" s="2" t="s">
        <v>2500</v>
      </c>
    </row>
    <row r="61" spans="1:1" hidden="1" x14ac:dyDescent="0.25">
      <c r="A61" s="2" t="s">
        <v>2501</v>
      </c>
    </row>
    <row r="62" spans="1:1" hidden="1" x14ac:dyDescent="0.25">
      <c r="A62" s="2"/>
    </row>
    <row r="63" spans="1:1" hidden="1" x14ac:dyDescent="0.25">
      <c r="A63" s="2" t="s">
        <v>2502</v>
      </c>
    </row>
    <row r="64" spans="1:1" hidden="1" x14ac:dyDescent="0.25">
      <c r="A64" s="2"/>
    </row>
    <row r="65" spans="1:3" x14ac:dyDescent="0.25">
      <c r="A65" s="2" t="s">
        <v>2503</v>
      </c>
    </row>
    <row r="66" spans="1:3" x14ac:dyDescent="0.25">
      <c r="A66" s="2"/>
    </row>
    <row r="67" spans="1:3" x14ac:dyDescent="0.25">
      <c r="A67" s="2" t="s">
        <v>2504</v>
      </c>
    </row>
    <row r="68" spans="1:3" x14ac:dyDescent="0.25">
      <c r="A68" s="6">
        <v>1437116</v>
      </c>
    </row>
    <row r="69" spans="1:3" x14ac:dyDescent="0.25">
      <c r="A69" s="8">
        <v>20001231</v>
      </c>
      <c r="C69" t="s">
        <v>2568</v>
      </c>
    </row>
    <row r="70" spans="1:3" x14ac:dyDescent="0.25">
      <c r="A70" s="8">
        <v>240000</v>
      </c>
      <c r="C70" t="s">
        <v>2612</v>
      </c>
    </row>
    <row r="71" spans="1:3" x14ac:dyDescent="0.25">
      <c r="A71" s="8">
        <v>20141231</v>
      </c>
      <c r="C71" t="s">
        <v>2569</v>
      </c>
    </row>
    <row r="72" spans="1:3" x14ac:dyDescent="0.25">
      <c r="A72" s="8">
        <v>240000</v>
      </c>
      <c r="C72" t="s">
        <v>2570</v>
      </c>
    </row>
    <row r="73" spans="1:3" x14ac:dyDescent="0.25">
      <c r="A73" s="2" t="s">
        <v>2506</v>
      </c>
    </row>
    <row r="74" spans="1:3" x14ac:dyDescent="0.25">
      <c r="A74" s="2" t="s">
        <v>2507</v>
      </c>
    </row>
    <row r="75" spans="1:3" x14ac:dyDescent="0.25">
      <c r="A75" s="2" t="s">
        <v>2541</v>
      </c>
    </row>
    <row r="76" spans="1:3" x14ac:dyDescent="0.25">
      <c r="A76" s="2" t="s">
        <v>2508</v>
      </c>
    </row>
    <row r="77" spans="1:3" x14ac:dyDescent="0.25">
      <c r="A77" s="2" t="s">
        <v>2509</v>
      </c>
    </row>
    <row r="78" spans="1:3" x14ac:dyDescent="0.25">
      <c r="A78" s="2" t="s">
        <v>2510</v>
      </c>
    </row>
    <row r="79" spans="1:3" x14ac:dyDescent="0.25">
      <c r="A79" s="2" t="s">
        <v>2511</v>
      </c>
    </row>
    <row r="80" spans="1:3" x14ac:dyDescent="0.25">
      <c r="A80" s="2" t="s">
        <v>2619</v>
      </c>
      <c r="B80" s="8">
        <v>5</v>
      </c>
      <c r="C80" t="s">
        <v>2626</v>
      </c>
    </row>
    <row r="81" spans="1:6" x14ac:dyDescent="0.25">
      <c r="A81" s="2" t="s">
        <v>2600</v>
      </c>
      <c r="B81" s="8">
        <v>1</v>
      </c>
    </row>
    <row r="82" spans="1:6" x14ac:dyDescent="0.25">
      <c r="A82" s="2" t="s">
        <v>2603</v>
      </c>
      <c r="B82" s="8">
        <v>1</v>
      </c>
    </row>
    <row r="83" spans="1:6" x14ac:dyDescent="0.25">
      <c r="A83" s="2" t="s">
        <v>2604</v>
      </c>
      <c r="B83" s="8">
        <v>0</v>
      </c>
    </row>
    <row r="84" spans="1:6" x14ac:dyDescent="0.25">
      <c r="A84" s="2" t="s">
        <v>2599</v>
      </c>
      <c r="B84" s="8" t="s">
        <v>2578</v>
      </c>
      <c r="C84" t="s">
        <v>2613</v>
      </c>
    </row>
    <row r="85" spans="1:6" x14ac:dyDescent="0.25">
      <c r="A85" s="2" t="s">
        <v>2499</v>
      </c>
    </row>
    <row r="86" spans="1:6" x14ac:dyDescent="0.25">
      <c r="A86" s="2"/>
    </row>
    <row r="87" spans="1:6" x14ac:dyDescent="0.25">
      <c r="A87" s="2" t="s">
        <v>2624</v>
      </c>
      <c r="B87" s="12" t="s">
        <v>2625</v>
      </c>
      <c r="C87" s="12"/>
      <c r="D87" s="12"/>
      <c r="E87" s="12"/>
      <c r="F87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TIDEDA_movmax_valueperperiod">
                <anchor moveWithCells="1" sizeWithCells="1">
                  <from>
                    <xdr:col>7</xdr:col>
                    <xdr:colOff>142875</xdr:colOff>
                    <xdr:row>80</xdr:row>
                    <xdr:rowOff>76200</xdr:rowOff>
                  </from>
                  <to>
                    <xdr:col>10</xdr:col>
                    <xdr:colOff>180975</xdr:colOff>
                    <xdr:row>83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2:P94"/>
  <sheetViews>
    <sheetView topLeftCell="A11" zoomScaleNormal="100" workbookViewId="0">
      <selection activeCell="L73" sqref="L73"/>
    </sheetView>
  </sheetViews>
  <sheetFormatPr defaultRowHeight="15" x14ac:dyDescent="0.25"/>
  <sheetData>
    <row r="2" spans="1:8" x14ac:dyDescent="0.25">
      <c r="A2" t="s">
        <v>2454</v>
      </c>
    </row>
    <row r="3" spans="1:8" x14ac:dyDescent="0.25">
      <c r="A3" t="s">
        <v>2561</v>
      </c>
    </row>
    <row r="5" spans="1:8" x14ac:dyDescent="0.25">
      <c r="A5" t="s">
        <v>2455</v>
      </c>
    </row>
    <row r="7" spans="1:8" x14ac:dyDescent="0.25">
      <c r="A7" t="s">
        <v>2456</v>
      </c>
    </row>
    <row r="9" spans="1:8" x14ac:dyDescent="0.25">
      <c r="A9" t="s">
        <v>2457</v>
      </c>
    </row>
    <row r="11" spans="1:8" x14ac:dyDescent="0.25">
      <c r="A11" s="12" t="s">
        <v>2598</v>
      </c>
      <c r="B11" s="12"/>
      <c r="C11" s="12"/>
      <c r="D11" s="12"/>
      <c r="E11" s="12"/>
      <c r="F11" s="12"/>
      <c r="G11" s="12"/>
      <c r="H11" s="12"/>
    </row>
    <row r="12" spans="1:8" x14ac:dyDescent="0.25">
      <c r="A12" s="12" t="s">
        <v>2596</v>
      </c>
      <c r="B12" s="12"/>
      <c r="C12" s="12"/>
      <c r="D12" s="12"/>
      <c r="E12" s="12"/>
      <c r="F12" s="12"/>
      <c r="G12" s="12"/>
      <c r="H12" s="12"/>
    </row>
    <row r="13" spans="1:8" x14ac:dyDescent="0.25">
      <c r="A13" s="3" t="s">
        <v>2525</v>
      </c>
      <c r="B13" s="3"/>
    </row>
    <row r="14" spans="1:8" x14ac:dyDescent="0.25">
      <c r="A14" t="s">
        <v>2459</v>
      </c>
    </row>
    <row r="15" spans="1:8" hidden="1" x14ac:dyDescent="0.25">
      <c r="A15" t="s">
        <v>2460</v>
      </c>
    </row>
    <row r="16" spans="1:8" hidden="1" x14ac:dyDescent="0.25">
      <c r="A16" t="s">
        <v>2461</v>
      </c>
    </row>
    <row r="17" spans="1:1" hidden="1" x14ac:dyDescent="0.25">
      <c r="A17" t="s">
        <v>2462</v>
      </c>
    </row>
    <row r="18" spans="1:1" hidden="1" x14ac:dyDescent="0.25">
      <c r="A18" t="s">
        <v>2463</v>
      </c>
    </row>
    <row r="19" spans="1:1" hidden="1" x14ac:dyDescent="0.25">
      <c r="A19" t="s">
        <v>2464</v>
      </c>
    </row>
    <row r="20" spans="1:1" hidden="1" x14ac:dyDescent="0.25">
      <c r="A20" t="s">
        <v>2526</v>
      </c>
    </row>
    <row r="21" spans="1:1" hidden="1" x14ac:dyDescent="0.25">
      <c r="A21" t="s">
        <v>2527</v>
      </c>
    </row>
    <row r="22" spans="1:1" hidden="1" x14ac:dyDescent="0.25">
      <c r="A22" t="s">
        <v>2528</v>
      </c>
    </row>
    <row r="23" spans="1:1" hidden="1" x14ac:dyDescent="0.25">
      <c r="A23" t="s">
        <v>2529</v>
      </c>
    </row>
    <row r="24" spans="1:1" hidden="1" x14ac:dyDescent="0.25">
      <c r="A24" t="s">
        <v>2530</v>
      </c>
    </row>
    <row r="25" spans="1:1" hidden="1" x14ac:dyDescent="0.25">
      <c r="A25" t="s">
        <v>2531</v>
      </c>
    </row>
    <row r="26" spans="1:1" hidden="1" x14ac:dyDescent="0.25">
      <c r="A26" t="s">
        <v>2532</v>
      </c>
    </row>
    <row r="27" spans="1:1" hidden="1" x14ac:dyDescent="0.25">
      <c r="A27" t="s">
        <v>2533</v>
      </c>
    </row>
    <row r="28" spans="1:1" hidden="1" x14ac:dyDescent="0.25">
      <c r="A28" t="s">
        <v>2534</v>
      </c>
    </row>
    <row r="29" spans="1:1" hidden="1" x14ac:dyDescent="0.25">
      <c r="A29" t="s">
        <v>2535</v>
      </c>
    </row>
    <row r="30" spans="1:1" hidden="1" x14ac:dyDescent="0.25"/>
    <row r="31" spans="1:1" hidden="1" x14ac:dyDescent="0.25">
      <c r="A31" t="s">
        <v>2475</v>
      </c>
    </row>
    <row r="32" spans="1:1" hidden="1" x14ac:dyDescent="0.25">
      <c r="A32" t="s">
        <v>2476</v>
      </c>
    </row>
    <row r="33" spans="1:1" hidden="1" x14ac:dyDescent="0.25">
      <c r="A33" t="s">
        <v>2477</v>
      </c>
    </row>
    <row r="34" spans="1:1" hidden="1" x14ac:dyDescent="0.25">
      <c r="A34" t="s">
        <v>2478</v>
      </c>
    </row>
    <row r="35" spans="1:1" hidden="1" x14ac:dyDescent="0.25">
      <c r="A35" t="s">
        <v>2479</v>
      </c>
    </row>
    <row r="36" spans="1:1" hidden="1" x14ac:dyDescent="0.25">
      <c r="A36" t="s">
        <v>2480</v>
      </c>
    </row>
    <row r="37" spans="1:1" hidden="1" x14ac:dyDescent="0.25">
      <c r="A37" t="s">
        <v>2481</v>
      </c>
    </row>
    <row r="38" spans="1:1" hidden="1" x14ac:dyDescent="0.25"/>
    <row r="39" spans="1:1" hidden="1" x14ac:dyDescent="0.25">
      <c r="A39" t="s">
        <v>2482</v>
      </c>
    </row>
    <row r="40" spans="1:1" hidden="1" x14ac:dyDescent="0.25">
      <c r="A40" t="s">
        <v>2483</v>
      </c>
    </row>
    <row r="41" spans="1:1" hidden="1" x14ac:dyDescent="0.25">
      <c r="A41" t="s">
        <v>2484</v>
      </c>
    </row>
    <row r="42" spans="1:1" hidden="1" x14ac:dyDescent="0.25"/>
    <row r="43" spans="1:1" hidden="1" x14ac:dyDescent="0.25">
      <c r="A43" t="s">
        <v>2485</v>
      </c>
    </row>
    <row r="44" spans="1:1" hidden="1" x14ac:dyDescent="0.25">
      <c r="A44" t="s">
        <v>2486</v>
      </c>
    </row>
    <row r="45" spans="1:1" hidden="1" x14ac:dyDescent="0.25">
      <c r="A45" t="s">
        <v>2487</v>
      </c>
    </row>
    <row r="46" spans="1:1" hidden="1" x14ac:dyDescent="0.25">
      <c r="A46" t="s">
        <v>2488</v>
      </c>
    </row>
    <row r="47" spans="1:1" hidden="1" x14ac:dyDescent="0.25"/>
    <row r="48" spans="1:1" hidden="1" x14ac:dyDescent="0.25">
      <c r="A48" t="s">
        <v>2489</v>
      </c>
    </row>
    <row r="49" spans="1:1" hidden="1" x14ac:dyDescent="0.25">
      <c r="A49" t="s">
        <v>2490</v>
      </c>
    </row>
    <row r="50" spans="1:1" hidden="1" x14ac:dyDescent="0.25">
      <c r="A50" t="s">
        <v>2491</v>
      </c>
    </row>
    <row r="51" spans="1:1" hidden="1" x14ac:dyDescent="0.25">
      <c r="A51" t="s">
        <v>2492</v>
      </c>
    </row>
    <row r="52" spans="1:1" hidden="1" x14ac:dyDescent="0.25">
      <c r="A52" t="s">
        <v>2493</v>
      </c>
    </row>
    <row r="53" spans="1:1" hidden="1" x14ac:dyDescent="0.25">
      <c r="A53" t="s">
        <v>2494</v>
      </c>
    </row>
    <row r="54" spans="1:1" hidden="1" x14ac:dyDescent="0.25">
      <c r="A54" t="s">
        <v>2495</v>
      </c>
    </row>
    <row r="55" spans="1:1" hidden="1" x14ac:dyDescent="0.25">
      <c r="A55" t="s">
        <v>2496</v>
      </c>
    </row>
    <row r="56" spans="1:1" hidden="1" x14ac:dyDescent="0.25">
      <c r="A56" t="s">
        <v>2497</v>
      </c>
    </row>
    <row r="57" spans="1:1" hidden="1" x14ac:dyDescent="0.25">
      <c r="A57" t="s">
        <v>2498</v>
      </c>
    </row>
    <row r="58" spans="1:1" hidden="1" x14ac:dyDescent="0.25">
      <c r="A58" t="s">
        <v>2499</v>
      </c>
    </row>
    <row r="59" spans="1:1" hidden="1" x14ac:dyDescent="0.25"/>
    <row r="60" spans="1:1" hidden="1" x14ac:dyDescent="0.25">
      <c r="A60" t="s">
        <v>2500</v>
      </c>
    </row>
    <row r="61" spans="1:1" hidden="1" x14ac:dyDescent="0.25">
      <c r="A61" t="s">
        <v>2501</v>
      </c>
    </row>
    <row r="62" spans="1:1" hidden="1" x14ac:dyDescent="0.25"/>
    <row r="63" spans="1:1" x14ac:dyDescent="0.25">
      <c r="A63" t="s">
        <v>2502</v>
      </c>
    </row>
    <row r="65" spans="1:16" x14ac:dyDescent="0.25">
      <c r="A65" t="s">
        <v>2503</v>
      </c>
      <c r="L65" s="10" t="s">
        <v>2550</v>
      </c>
    </row>
    <row r="66" spans="1:16" x14ac:dyDescent="0.25">
      <c r="A66" s="2"/>
      <c r="L66" s="2"/>
    </row>
    <row r="67" spans="1:16" x14ac:dyDescent="0.25">
      <c r="A67" s="2" t="s">
        <v>2548</v>
      </c>
      <c r="B67" s="12" t="s">
        <v>2597</v>
      </c>
      <c r="C67" s="12"/>
      <c r="D67" s="7" t="s">
        <v>2549</v>
      </c>
      <c r="E67" s="2"/>
      <c r="G67" s="9"/>
      <c r="L67" s="2" t="s">
        <v>2548</v>
      </c>
      <c r="M67" s="12" t="str">
        <f>B67</f>
        <v>F:\TIDEDA\Extracted\Kelantan_csv\</v>
      </c>
      <c r="N67" s="12"/>
      <c r="O67" s="7" t="s">
        <v>2549</v>
      </c>
      <c r="P67" s="2"/>
    </row>
    <row r="68" spans="1:16" x14ac:dyDescent="0.25">
      <c r="A68" s="2"/>
      <c r="L68" s="2"/>
    </row>
    <row r="69" spans="1:16" x14ac:dyDescent="0.25">
      <c r="A69" s="2" t="s">
        <v>2536</v>
      </c>
      <c r="L69" s="2" t="s">
        <v>2536</v>
      </c>
    </row>
    <row r="70" spans="1:16" x14ac:dyDescent="0.25">
      <c r="A70" s="6">
        <v>3016001</v>
      </c>
      <c r="L70" s="6">
        <v>3016001</v>
      </c>
    </row>
    <row r="71" spans="1:16" x14ac:dyDescent="0.25">
      <c r="A71" s="2" t="s">
        <v>2505</v>
      </c>
      <c r="C71" t="s">
        <v>2594</v>
      </c>
      <c r="L71" s="8">
        <v>19300101</v>
      </c>
      <c r="N71" t="s">
        <v>2568</v>
      </c>
    </row>
    <row r="72" spans="1:16" x14ac:dyDescent="0.25">
      <c r="A72" s="2" t="s">
        <v>2537</v>
      </c>
      <c r="L72" s="13" t="s">
        <v>2662</v>
      </c>
      <c r="N72" t="s">
        <v>2612</v>
      </c>
    </row>
    <row r="73" spans="1:16" x14ac:dyDescent="0.25">
      <c r="A73" s="2" t="s">
        <v>2538</v>
      </c>
      <c r="L73" s="8">
        <v>20170701</v>
      </c>
      <c r="N73" t="s">
        <v>2569</v>
      </c>
    </row>
    <row r="74" spans="1:16" x14ac:dyDescent="0.25">
      <c r="A74" s="2" t="s">
        <v>2539</v>
      </c>
      <c r="L74" s="8">
        <v>240000</v>
      </c>
      <c r="N74" t="s">
        <v>2570</v>
      </c>
    </row>
    <row r="75" spans="1:16" x14ac:dyDescent="0.25">
      <c r="A75" s="2" t="s">
        <v>2540</v>
      </c>
      <c r="L75" s="2" t="s">
        <v>2537</v>
      </c>
    </row>
    <row r="76" spans="1:16" x14ac:dyDescent="0.25">
      <c r="A76" s="2" t="s">
        <v>2541</v>
      </c>
      <c r="L76" s="2" t="s">
        <v>2538</v>
      </c>
    </row>
    <row r="77" spans="1:16" x14ac:dyDescent="0.25">
      <c r="A77" s="2" t="s">
        <v>2542</v>
      </c>
      <c r="L77" s="2" t="s">
        <v>2539</v>
      </c>
    </row>
    <row r="78" spans="1:16" x14ac:dyDescent="0.25">
      <c r="A78" s="2" t="s">
        <v>2543</v>
      </c>
      <c r="L78" s="2" t="s">
        <v>2540</v>
      </c>
    </row>
    <row r="79" spans="1:16" x14ac:dyDescent="0.25">
      <c r="A79" s="2" t="s">
        <v>2507</v>
      </c>
      <c r="L79" s="2" t="s">
        <v>2541</v>
      </c>
    </row>
    <row r="80" spans="1:16" x14ac:dyDescent="0.25">
      <c r="A80" s="2" t="s">
        <v>2508</v>
      </c>
      <c r="L80" s="2" t="s">
        <v>2542</v>
      </c>
    </row>
    <row r="81" spans="1:14" x14ac:dyDescent="0.25">
      <c r="A81" s="2" t="s">
        <v>2544</v>
      </c>
      <c r="L81" s="2" t="s">
        <v>2543</v>
      </c>
    </row>
    <row r="82" spans="1:14" x14ac:dyDescent="0.25">
      <c r="A82" s="2" t="s">
        <v>2599</v>
      </c>
      <c r="B82" s="3" t="s">
        <v>2583</v>
      </c>
      <c r="L82" s="2" t="s">
        <v>2507</v>
      </c>
    </row>
    <row r="83" spans="1:14" x14ac:dyDescent="0.25">
      <c r="A83" s="2" t="s">
        <v>2600</v>
      </c>
      <c r="B83" s="8">
        <v>1</v>
      </c>
      <c r="L83" s="2" t="s">
        <v>2508</v>
      </c>
    </row>
    <row r="84" spans="1:14" x14ac:dyDescent="0.25">
      <c r="A84" s="2" t="s">
        <v>2603</v>
      </c>
      <c r="B84" s="8">
        <v>1</v>
      </c>
      <c r="L84" s="2" t="s">
        <v>2544</v>
      </c>
    </row>
    <row r="85" spans="1:14" x14ac:dyDescent="0.25">
      <c r="A85" s="2" t="s">
        <v>2604</v>
      </c>
      <c r="B85" s="8">
        <v>0</v>
      </c>
      <c r="L85" s="2" t="s">
        <v>2599</v>
      </c>
      <c r="M85" s="3" t="s">
        <v>2583</v>
      </c>
      <c r="N85" t="s">
        <v>2613</v>
      </c>
    </row>
    <row r="86" spans="1:14" x14ac:dyDescent="0.25">
      <c r="A86" s="2" t="s">
        <v>2545</v>
      </c>
      <c r="L86" s="2" t="s">
        <v>2600</v>
      </c>
      <c r="M86" s="8">
        <v>1</v>
      </c>
    </row>
    <row r="87" spans="1:14" x14ac:dyDescent="0.25">
      <c r="A87" s="2" t="s">
        <v>2546</v>
      </c>
      <c r="L87" s="2" t="s">
        <v>2603</v>
      </c>
      <c r="M87" s="8">
        <v>1</v>
      </c>
    </row>
    <row r="88" spans="1:14" x14ac:dyDescent="0.25">
      <c r="A88" s="2" t="s">
        <v>2601</v>
      </c>
      <c r="B88" s="8">
        <v>-999</v>
      </c>
      <c r="L88" s="2" t="s">
        <v>2604</v>
      </c>
      <c r="M88" s="8">
        <v>0</v>
      </c>
    </row>
    <row r="89" spans="1:14" x14ac:dyDescent="0.25">
      <c r="A89" s="2" t="s">
        <v>2547</v>
      </c>
      <c r="B89" s="3"/>
      <c r="L89" s="2" t="s">
        <v>2545</v>
      </c>
    </row>
    <row r="90" spans="1:14" x14ac:dyDescent="0.25">
      <c r="A90" s="2" t="s">
        <v>2602</v>
      </c>
      <c r="B90" s="8">
        <v>40</v>
      </c>
      <c r="L90" s="2" t="s">
        <v>2546</v>
      </c>
    </row>
    <row r="91" spans="1:14" x14ac:dyDescent="0.25">
      <c r="A91" s="2" t="s">
        <v>2499</v>
      </c>
      <c r="L91" s="2" t="s">
        <v>2601</v>
      </c>
      <c r="M91" s="8">
        <v>-999</v>
      </c>
    </row>
    <row r="92" spans="1:14" x14ac:dyDescent="0.25">
      <c r="L92" s="2" t="s">
        <v>2547</v>
      </c>
      <c r="M92" s="3"/>
    </row>
    <row r="93" spans="1:14" x14ac:dyDescent="0.25">
      <c r="L93" s="2" t="s">
        <v>2602</v>
      </c>
      <c r="M93" s="8">
        <v>40</v>
      </c>
    </row>
    <row r="94" spans="1:14" x14ac:dyDescent="0.25">
      <c r="L94" s="2" t="s">
        <v>2499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IDEDA_export_csv">
                <anchor moveWithCells="1" sizeWithCells="1">
                  <from>
                    <xdr:col>0</xdr:col>
                    <xdr:colOff>323850</xdr:colOff>
                    <xdr:row>92</xdr:row>
                    <xdr:rowOff>152400</xdr:rowOff>
                  </from>
                  <to>
                    <xdr:col>2</xdr:col>
                    <xdr:colOff>533400</xdr:colOff>
                    <xdr:row>95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IDEDA_export_csv_datetime">
                <anchor moveWithCells="1" sizeWithCells="1">
                  <from>
                    <xdr:col>13</xdr:col>
                    <xdr:colOff>361950</xdr:colOff>
                    <xdr:row>91</xdr:row>
                    <xdr:rowOff>0</xdr:rowOff>
                  </from>
                  <to>
                    <xdr:col>16</xdr:col>
                    <xdr:colOff>323850</xdr:colOff>
                    <xdr:row>93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59999389629810485"/>
  </sheetPr>
  <dimension ref="A2:H84"/>
  <sheetViews>
    <sheetView topLeftCell="A11" workbookViewId="0">
      <selection activeCell="A68" sqref="A68"/>
    </sheetView>
  </sheetViews>
  <sheetFormatPr defaultRowHeight="15" x14ac:dyDescent="0.25"/>
  <cols>
    <col min="1" max="1" width="11.28515625" customWidth="1"/>
    <col min="2" max="2" width="14.28515625" customWidth="1"/>
  </cols>
  <sheetData>
    <row r="2" spans="1:6" x14ac:dyDescent="0.25">
      <c r="A2" t="s">
        <v>2454</v>
      </c>
    </row>
    <row r="3" spans="1:6" x14ac:dyDescent="0.25">
      <c r="A3" t="s">
        <v>2664</v>
      </c>
    </row>
    <row r="5" spans="1:6" x14ac:dyDescent="0.25">
      <c r="A5" t="s">
        <v>2455</v>
      </c>
    </row>
    <row r="7" spans="1:6" x14ac:dyDescent="0.25">
      <c r="A7" t="s">
        <v>2456</v>
      </c>
    </row>
    <row r="9" spans="1:6" x14ac:dyDescent="0.25">
      <c r="A9" t="s">
        <v>2457</v>
      </c>
    </row>
    <row r="11" spans="1:6" x14ac:dyDescent="0.25">
      <c r="A11" s="12" t="s">
        <v>2674</v>
      </c>
      <c r="B11" s="12"/>
      <c r="C11" s="12"/>
      <c r="D11" s="12"/>
      <c r="E11" s="12"/>
      <c r="F11" s="12"/>
    </row>
    <row r="12" spans="1:6" x14ac:dyDescent="0.25">
      <c r="A12" s="12" t="s">
        <v>2675</v>
      </c>
      <c r="B12" s="12"/>
      <c r="C12" s="12"/>
      <c r="D12" s="12"/>
      <c r="E12" s="12"/>
      <c r="F12" s="12"/>
    </row>
    <row r="13" spans="1:6" x14ac:dyDescent="0.25">
      <c r="A13" t="s">
        <v>2525</v>
      </c>
    </row>
    <row r="14" spans="1:6" x14ac:dyDescent="0.25">
      <c r="A14" t="s">
        <v>2459</v>
      </c>
    </row>
    <row r="15" spans="1:6" hidden="1" x14ac:dyDescent="0.25">
      <c r="A15" t="s">
        <v>2460</v>
      </c>
    </row>
    <row r="16" spans="1:6" hidden="1" x14ac:dyDescent="0.25">
      <c r="A16" t="s">
        <v>2461</v>
      </c>
    </row>
    <row r="17" spans="1:1" hidden="1" x14ac:dyDescent="0.25">
      <c r="A17" t="s">
        <v>2462</v>
      </c>
    </row>
    <row r="18" spans="1:1" hidden="1" x14ac:dyDescent="0.25">
      <c r="A18" t="s">
        <v>2463</v>
      </c>
    </row>
    <row r="19" spans="1:1" hidden="1" x14ac:dyDescent="0.25">
      <c r="A19" t="s">
        <v>2464</v>
      </c>
    </row>
    <row r="20" spans="1:1" hidden="1" x14ac:dyDescent="0.25">
      <c r="A20" t="s">
        <v>2526</v>
      </c>
    </row>
    <row r="21" spans="1:1" hidden="1" x14ac:dyDescent="0.25">
      <c r="A21" t="s">
        <v>2527</v>
      </c>
    </row>
    <row r="22" spans="1:1" hidden="1" x14ac:dyDescent="0.25">
      <c r="A22" t="s">
        <v>2528</v>
      </c>
    </row>
    <row r="23" spans="1:1" hidden="1" x14ac:dyDescent="0.25">
      <c r="A23" t="s">
        <v>2529</v>
      </c>
    </row>
    <row r="24" spans="1:1" hidden="1" x14ac:dyDescent="0.25">
      <c r="A24" t="s">
        <v>2530</v>
      </c>
    </row>
    <row r="25" spans="1:1" hidden="1" x14ac:dyDescent="0.25">
      <c r="A25" t="s">
        <v>2531</v>
      </c>
    </row>
    <row r="26" spans="1:1" hidden="1" x14ac:dyDescent="0.25">
      <c r="A26" t="s">
        <v>2532</v>
      </c>
    </row>
    <row r="27" spans="1:1" hidden="1" x14ac:dyDescent="0.25">
      <c r="A27" t="s">
        <v>2533</v>
      </c>
    </row>
    <row r="28" spans="1:1" hidden="1" x14ac:dyDescent="0.25">
      <c r="A28" t="s">
        <v>2534</v>
      </c>
    </row>
    <row r="29" spans="1:1" hidden="1" x14ac:dyDescent="0.25">
      <c r="A29" t="s">
        <v>2535</v>
      </c>
    </row>
    <row r="30" spans="1:1" hidden="1" x14ac:dyDescent="0.25"/>
    <row r="31" spans="1:1" hidden="1" x14ac:dyDescent="0.25">
      <c r="A31" t="s">
        <v>2475</v>
      </c>
    </row>
    <row r="32" spans="1:1" hidden="1" x14ac:dyDescent="0.25">
      <c r="A32" t="s">
        <v>2476</v>
      </c>
    </row>
    <row r="33" spans="1:1" hidden="1" x14ac:dyDescent="0.25">
      <c r="A33" t="s">
        <v>2477</v>
      </c>
    </row>
    <row r="34" spans="1:1" hidden="1" x14ac:dyDescent="0.25">
      <c r="A34" t="s">
        <v>2478</v>
      </c>
    </row>
    <row r="35" spans="1:1" hidden="1" x14ac:dyDescent="0.25">
      <c r="A35" t="s">
        <v>2479</v>
      </c>
    </row>
    <row r="36" spans="1:1" hidden="1" x14ac:dyDescent="0.25">
      <c r="A36" t="s">
        <v>2480</v>
      </c>
    </row>
    <row r="37" spans="1:1" hidden="1" x14ac:dyDescent="0.25">
      <c r="A37" t="s">
        <v>2481</v>
      </c>
    </row>
    <row r="38" spans="1:1" hidden="1" x14ac:dyDescent="0.25"/>
    <row r="39" spans="1:1" hidden="1" x14ac:dyDescent="0.25">
      <c r="A39" t="s">
        <v>2482</v>
      </c>
    </row>
    <row r="40" spans="1:1" hidden="1" x14ac:dyDescent="0.25">
      <c r="A40" t="s">
        <v>2483</v>
      </c>
    </row>
    <row r="41" spans="1:1" hidden="1" x14ac:dyDescent="0.25">
      <c r="A41" t="s">
        <v>2484</v>
      </c>
    </row>
    <row r="42" spans="1:1" hidden="1" x14ac:dyDescent="0.25"/>
    <row r="43" spans="1:1" hidden="1" x14ac:dyDescent="0.25">
      <c r="A43" t="s">
        <v>2485</v>
      </c>
    </row>
    <row r="44" spans="1:1" hidden="1" x14ac:dyDescent="0.25">
      <c r="A44" t="s">
        <v>2486</v>
      </c>
    </row>
    <row r="45" spans="1:1" hidden="1" x14ac:dyDescent="0.25">
      <c r="A45" t="s">
        <v>2487</v>
      </c>
    </row>
    <row r="46" spans="1:1" hidden="1" x14ac:dyDescent="0.25">
      <c r="A46" t="s">
        <v>2488</v>
      </c>
    </row>
    <row r="47" spans="1:1" hidden="1" x14ac:dyDescent="0.25"/>
    <row r="48" spans="1:1" hidden="1" x14ac:dyDescent="0.25">
      <c r="A48" t="s">
        <v>2489</v>
      </c>
    </row>
    <row r="49" spans="1:1" hidden="1" x14ac:dyDescent="0.25">
      <c r="A49" t="s">
        <v>2490</v>
      </c>
    </row>
    <row r="50" spans="1:1" hidden="1" x14ac:dyDescent="0.25">
      <c r="A50" t="s">
        <v>2616</v>
      </c>
    </row>
    <row r="51" spans="1:1" hidden="1" x14ac:dyDescent="0.25">
      <c r="A51" t="s">
        <v>2492</v>
      </c>
    </row>
    <row r="52" spans="1:1" hidden="1" x14ac:dyDescent="0.25">
      <c r="A52" t="s">
        <v>2493</v>
      </c>
    </row>
    <row r="53" spans="1:1" hidden="1" x14ac:dyDescent="0.25">
      <c r="A53" t="s">
        <v>2494</v>
      </c>
    </row>
    <row r="54" spans="1:1" hidden="1" x14ac:dyDescent="0.25">
      <c r="A54" t="s">
        <v>2495</v>
      </c>
    </row>
    <row r="55" spans="1:1" hidden="1" x14ac:dyDescent="0.25">
      <c r="A55" t="s">
        <v>2496</v>
      </c>
    </row>
    <row r="56" spans="1:1" hidden="1" x14ac:dyDescent="0.25">
      <c r="A56" t="s">
        <v>2497</v>
      </c>
    </row>
    <row r="57" spans="1:1" hidden="1" x14ac:dyDescent="0.25">
      <c r="A57" t="s">
        <v>2498</v>
      </c>
    </row>
    <row r="58" spans="1:1" hidden="1" x14ac:dyDescent="0.25">
      <c r="A58" t="s">
        <v>2499</v>
      </c>
    </row>
    <row r="59" spans="1:1" hidden="1" x14ac:dyDescent="0.25"/>
    <row r="60" spans="1:1" hidden="1" x14ac:dyDescent="0.25">
      <c r="A60" t="s">
        <v>2500</v>
      </c>
    </row>
    <row r="61" spans="1:1" hidden="1" x14ac:dyDescent="0.25">
      <c r="A61" t="s">
        <v>2501</v>
      </c>
    </row>
    <row r="62" spans="1:1" hidden="1" x14ac:dyDescent="0.25"/>
    <row r="63" spans="1:1" x14ac:dyDescent="0.25">
      <c r="A63" t="s">
        <v>2502</v>
      </c>
    </row>
    <row r="65" spans="1:8" x14ac:dyDescent="0.25">
      <c r="A65" t="s">
        <v>2503</v>
      </c>
    </row>
    <row r="66" spans="1:8" x14ac:dyDescent="0.25">
      <c r="A66" s="2"/>
    </row>
    <row r="67" spans="1:8" x14ac:dyDescent="0.25">
      <c r="A67" s="2" t="s">
        <v>2665</v>
      </c>
    </row>
    <row r="68" spans="1:8" x14ac:dyDescent="0.25">
      <c r="A68" s="6">
        <v>3122021</v>
      </c>
      <c r="C68" t="s">
        <v>2678</v>
      </c>
      <c r="G68" s="7" t="s">
        <v>2677</v>
      </c>
      <c r="H68" s="7"/>
    </row>
    <row r="69" spans="1:8" x14ac:dyDescent="0.25">
      <c r="A69" s="2" t="s">
        <v>2505</v>
      </c>
      <c r="C69" t="s">
        <v>2594</v>
      </c>
    </row>
    <row r="70" spans="1:8" x14ac:dyDescent="0.25">
      <c r="A70" s="2" t="s">
        <v>2506</v>
      </c>
    </row>
    <row r="71" spans="1:8" x14ac:dyDescent="0.25">
      <c r="A71" s="2" t="s">
        <v>2507</v>
      </c>
    </row>
    <row r="72" spans="1:8" x14ac:dyDescent="0.25">
      <c r="A72" s="2" t="s">
        <v>2541</v>
      </c>
    </row>
    <row r="73" spans="1:8" x14ac:dyDescent="0.25">
      <c r="A73" s="2" t="s">
        <v>2508</v>
      </c>
    </row>
    <row r="74" spans="1:8" x14ac:dyDescent="0.25">
      <c r="A74" s="2" t="s">
        <v>2673</v>
      </c>
    </row>
    <row r="75" spans="1:8" x14ac:dyDescent="0.25">
      <c r="A75" s="2" t="s">
        <v>2669</v>
      </c>
      <c r="B75" s="8">
        <v>80</v>
      </c>
    </row>
    <row r="76" spans="1:8" x14ac:dyDescent="0.25">
      <c r="A76" s="2" t="s">
        <v>2600</v>
      </c>
      <c r="B76" s="8">
        <v>1</v>
      </c>
      <c r="C76" t="s">
        <v>2521</v>
      </c>
    </row>
    <row r="77" spans="1:8" x14ac:dyDescent="0.25">
      <c r="A77" s="2" t="s">
        <v>2603</v>
      </c>
      <c r="B77" s="8">
        <v>1</v>
      </c>
      <c r="C77" t="s">
        <v>2519</v>
      </c>
    </row>
    <row r="78" spans="1:8" x14ac:dyDescent="0.25">
      <c r="A78" s="2" t="s">
        <v>2604</v>
      </c>
      <c r="B78" s="8">
        <v>0</v>
      </c>
      <c r="C78" t="s">
        <v>2520</v>
      </c>
    </row>
    <row r="79" spans="1:8" x14ac:dyDescent="0.25">
      <c r="A79" s="2" t="s">
        <v>2666</v>
      </c>
      <c r="B79" s="34"/>
      <c r="C79" t="s">
        <v>2671</v>
      </c>
    </row>
    <row r="80" spans="1:8" x14ac:dyDescent="0.25">
      <c r="A80" s="2" t="s">
        <v>2668</v>
      </c>
      <c r="B80" s="8">
        <v>80000</v>
      </c>
      <c r="C80" t="s">
        <v>2670</v>
      </c>
    </row>
    <row r="81" spans="1:6" x14ac:dyDescent="0.25">
      <c r="A81" s="2" t="s">
        <v>2667</v>
      </c>
      <c r="B81" s="8">
        <v>0</v>
      </c>
      <c r="C81" t="s">
        <v>2672</v>
      </c>
    </row>
    <row r="82" spans="1:6" x14ac:dyDescent="0.25">
      <c r="A82" s="2" t="s">
        <v>2499</v>
      </c>
    </row>
    <row r="83" spans="1:6" x14ac:dyDescent="0.25">
      <c r="A83" s="2"/>
    </row>
    <row r="84" spans="1:6" x14ac:dyDescent="0.25">
      <c r="A84" s="12" t="s">
        <v>2516</v>
      </c>
      <c r="B84" s="31" t="s">
        <v>2676</v>
      </c>
      <c r="C84" s="31" t="str">
        <f>"cal_"&amp;A68&amp;".txt"</f>
        <v>cal_3122021.txt</v>
      </c>
      <c r="D84" s="12"/>
      <c r="E84" s="12"/>
      <c r="F84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TIDEDA_calendar_stn" altText="Generate TIDEDA Script">
                <anchor moveWithCells="1" sizeWithCells="1">
                  <from>
                    <xdr:col>0</xdr:col>
                    <xdr:colOff>361950</xdr:colOff>
                    <xdr:row>88</xdr:row>
                    <xdr:rowOff>133350</xdr:rowOff>
                  </from>
                  <to>
                    <xdr:col>2</xdr:col>
                    <xdr:colOff>438150</xdr:colOff>
                    <xdr:row>91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theme="8" tint="0.39997558519241921"/>
    <pageSetUpPr fitToPage="1"/>
  </sheetPr>
  <dimension ref="A1:S1286"/>
  <sheetViews>
    <sheetView view="pageBreakPreview" topLeftCell="A956" zoomScaleNormal="100" zoomScaleSheetLayoutView="100" workbookViewId="0">
      <selection activeCell="A654" sqref="A654:B1135"/>
    </sheetView>
  </sheetViews>
  <sheetFormatPr defaultColWidth="9.140625" defaultRowHeight="15" x14ac:dyDescent="0.25"/>
  <cols>
    <col min="1" max="1" width="12.5703125" style="30" bestFit="1" customWidth="1"/>
    <col min="2" max="2" width="42.7109375" style="16" customWidth="1"/>
    <col min="3" max="3" width="10.28515625" style="20" hidden="1" customWidth="1"/>
    <col min="4" max="4" width="20" style="22" bestFit="1" customWidth="1"/>
    <col min="5" max="5" width="27.5703125" style="20" bestFit="1" customWidth="1"/>
    <col min="6" max="6" width="28" style="20" bestFit="1" customWidth="1"/>
    <col min="7" max="7" width="16.85546875" style="20" bestFit="1" customWidth="1"/>
    <col min="8" max="8" width="12.5703125" style="20" bestFit="1" customWidth="1"/>
    <col min="9" max="9" width="12" style="20" bestFit="1" customWidth="1"/>
    <col min="10" max="10" width="6.140625" style="20" bestFit="1" customWidth="1"/>
    <col min="11" max="11" width="7.28515625" style="20" bestFit="1" customWidth="1"/>
    <col min="12" max="12" width="9.140625" style="20" bestFit="1" customWidth="1"/>
    <col min="13" max="13" width="11" style="20" bestFit="1" customWidth="1"/>
    <col min="14" max="14" width="8.28515625" style="20" bestFit="1" customWidth="1"/>
    <col min="15" max="15" width="11.5703125" style="20" bestFit="1" customWidth="1"/>
    <col min="16" max="16" width="11" style="20" bestFit="1" customWidth="1"/>
    <col min="17" max="17" width="9" style="20" bestFit="1" customWidth="1"/>
    <col min="18" max="18" width="8" style="20" bestFit="1" customWidth="1"/>
    <col min="19" max="19" width="8.42578125" style="20" bestFit="1" customWidth="1"/>
    <col min="20" max="16384" width="9.140625" style="18"/>
  </cols>
  <sheetData>
    <row r="1" spans="1:19" ht="14.25" customHeight="1" x14ac:dyDescent="0.25">
      <c r="A1" s="27" t="s">
        <v>626</v>
      </c>
      <c r="B1" s="14" t="s">
        <v>627</v>
      </c>
      <c r="C1" s="17" t="s">
        <v>0</v>
      </c>
      <c r="D1" s="23" t="s">
        <v>1</v>
      </c>
      <c r="E1" s="17" t="s">
        <v>2</v>
      </c>
      <c r="F1" s="17" t="s">
        <v>3</v>
      </c>
      <c r="G1" s="17" t="s">
        <v>628</v>
      </c>
      <c r="H1" s="17" t="s">
        <v>629</v>
      </c>
      <c r="I1" s="17" t="s">
        <v>630</v>
      </c>
      <c r="J1" s="17" t="s">
        <v>4</v>
      </c>
      <c r="K1" s="17" t="s">
        <v>5</v>
      </c>
      <c r="L1" s="17" t="s">
        <v>6</v>
      </c>
      <c r="M1" s="17" t="s">
        <v>7</v>
      </c>
      <c r="N1" s="17" t="s">
        <v>8</v>
      </c>
      <c r="O1" s="17" t="s">
        <v>631</v>
      </c>
      <c r="P1" s="17" t="s">
        <v>448</v>
      </c>
      <c r="Q1" s="17" t="s">
        <v>449</v>
      </c>
      <c r="R1" s="17" t="s">
        <v>9</v>
      </c>
      <c r="S1" s="17" t="s">
        <v>10</v>
      </c>
    </row>
    <row r="2" spans="1:19" hidden="1" x14ac:dyDescent="0.25">
      <c r="A2" s="28">
        <v>1334108</v>
      </c>
      <c r="B2" s="15" t="s">
        <v>2010</v>
      </c>
      <c r="C2" s="19" t="s">
        <v>12</v>
      </c>
      <c r="D2" s="21" t="s">
        <v>2011</v>
      </c>
      <c r="E2" s="19" t="s">
        <v>2012</v>
      </c>
      <c r="F2" s="19" t="s">
        <v>2013</v>
      </c>
      <c r="G2" s="19" t="s">
        <v>2014</v>
      </c>
      <c r="H2" s="19" t="s">
        <v>943</v>
      </c>
      <c r="I2" s="19"/>
      <c r="J2" s="19" t="s">
        <v>18</v>
      </c>
      <c r="K2" s="19" t="s">
        <v>18</v>
      </c>
      <c r="L2" s="19" t="s">
        <v>18</v>
      </c>
      <c r="M2" s="19" t="s">
        <v>19</v>
      </c>
      <c r="N2" s="19" t="s">
        <v>18</v>
      </c>
      <c r="O2" s="19"/>
      <c r="P2" s="19">
        <v>103.458333</v>
      </c>
      <c r="Q2" s="19">
        <v>1.348611</v>
      </c>
      <c r="R2" s="19" t="s">
        <v>20</v>
      </c>
      <c r="S2" s="19" t="s">
        <v>2015</v>
      </c>
    </row>
    <row r="3" spans="1:19" hidden="1" x14ac:dyDescent="0.25">
      <c r="A3" s="28">
        <v>1433105</v>
      </c>
      <c r="B3" s="15" t="s">
        <v>2016</v>
      </c>
      <c r="C3" s="19" t="s">
        <v>12</v>
      </c>
      <c r="D3" s="21" t="s">
        <v>2011</v>
      </c>
      <c r="E3" s="19" t="s">
        <v>2017</v>
      </c>
      <c r="F3" s="19" t="s">
        <v>223</v>
      </c>
      <c r="G3" s="19" t="s">
        <v>2011</v>
      </c>
      <c r="H3" s="19" t="s">
        <v>301</v>
      </c>
      <c r="I3" s="19" t="s">
        <v>2018</v>
      </c>
      <c r="J3" s="19" t="s">
        <v>19</v>
      </c>
      <c r="K3" s="19" t="s">
        <v>19</v>
      </c>
      <c r="L3" s="19" t="s">
        <v>18</v>
      </c>
      <c r="M3" s="19" t="s">
        <v>19</v>
      </c>
      <c r="N3" s="19" t="s">
        <v>19</v>
      </c>
      <c r="O3" s="19"/>
      <c r="P3" s="19">
        <v>103.38888900000001</v>
      </c>
      <c r="Q3" s="19">
        <v>1.4986109999999999</v>
      </c>
      <c r="R3" s="19" t="s">
        <v>279</v>
      </c>
      <c r="S3" s="19" t="s">
        <v>2015</v>
      </c>
    </row>
    <row r="4" spans="1:19" hidden="1" x14ac:dyDescent="0.25">
      <c r="A4" s="28">
        <v>1437116</v>
      </c>
      <c r="B4" s="15" t="s">
        <v>2019</v>
      </c>
      <c r="C4" s="19" t="s">
        <v>12</v>
      </c>
      <c r="D4" s="21" t="s">
        <v>2011</v>
      </c>
      <c r="E4" s="19" t="s">
        <v>2017</v>
      </c>
      <c r="F4" s="19" t="s">
        <v>2020</v>
      </c>
      <c r="G4" s="19" t="s">
        <v>2021</v>
      </c>
      <c r="H4" s="19" t="s">
        <v>1525</v>
      </c>
      <c r="I4" s="19"/>
      <c r="J4" s="19" t="s">
        <v>18</v>
      </c>
      <c r="K4" s="19" t="s">
        <v>18</v>
      </c>
      <c r="L4" s="19" t="s">
        <v>18</v>
      </c>
      <c r="M4" s="19" t="s">
        <v>18</v>
      </c>
      <c r="N4" s="19" t="s">
        <v>18</v>
      </c>
      <c r="O4" s="19"/>
      <c r="P4" s="19">
        <v>103.75277800000001</v>
      </c>
      <c r="Q4" s="19">
        <v>1.4708330000000001</v>
      </c>
      <c r="R4" s="19" t="s">
        <v>41</v>
      </c>
      <c r="S4" s="19" t="s">
        <v>1870</v>
      </c>
    </row>
    <row r="5" spans="1:19" hidden="1" x14ac:dyDescent="0.25">
      <c r="A5" s="28">
        <v>1438001</v>
      </c>
      <c r="B5" s="15" t="s">
        <v>2022</v>
      </c>
      <c r="C5" s="19" t="s">
        <v>12</v>
      </c>
      <c r="D5" s="21" t="s">
        <v>2011</v>
      </c>
      <c r="E5" s="19" t="s">
        <v>2017</v>
      </c>
      <c r="F5" s="19" t="s">
        <v>227</v>
      </c>
      <c r="G5" s="19" t="s">
        <v>2011</v>
      </c>
      <c r="H5" s="19" t="s">
        <v>411</v>
      </c>
      <c r="I5" s="19" t="s">
        <v>2023</v>
      </c>
      <c r="J5" s="19" t="s">
        <v>19</v>
      </c>
      <c r="K5" s="19" t="s">
        <v>19</v>
      </c>
      <c r="L5" s="19" t="s">
        <v>18</v>
      </c>
      <c r="M5" s="19" t="s">
        <v>19</v>
      </c>
      <c r="N5" s="19" t="s">
        <v>19</v>
      </c>
      <c r="O5" s="19"/>
      <c r="P5" s="19">
        <v>103.898611</v>
      </c>
      <c r="Q5" s="19">
        <v>1.4444440000000001</v>
      </c>
      <c r="R5" s="19" t="s">
        <v>41</v>
      </c>
      <c r="S5" s="19" t="s">
        <v>2024</v>
      </c>
    </row>
    <row r="6" spans="1:19" hidden="1" x14ac:dyDescent="0.25">
      <c r="A6" s="28">
        <v>1438001</v>
      </c>
      <c r="B6" s="15" t="s">
        <v>2022</v>
      </c>
      <c r="C6" s="19" t="s">
        <v>12</v>
      </c>
      <c r="D6" s="21" t="s">
        <v>2011</v>
      </c>
      <c r="E6" s="19" t="s">
        <v>2017</v>
      </c>
      <c r="F6" s="19" t="s">
        <v>227</v>
      </c>
      <c r="G6" s="19" t="s">
        <v>2011</v>
      </c>
      <c r="H6" s="19" t="s">
        <v>411</v>
      </c>
      <c r="I6" s="19" t="s">
        <v>2025</v>
      </c>
      <c r="J6" s="19" t="s">
        <v>19</v>
      </c>
      <c r="K6" s="19" t="s">
        <v>19</v>
      </c>
      <c r="L6" s="19" t="s">
        <v>18</v>
      </c>
      <c r="M6" s="19" t="s">
        <v>19</v>
      </c>
      <c r="N6" s="19" t="s">
        <v>18</v>
      </c>
      <c r="O6" s="19"/>
      <c r="P6" s="19">
        <v>103.898611</v>
      </c>
      <c r="Q6" s="19">
        <v>1.4444440000000001</v>
      </c>
      <c r="R6" s="19" t="s">
        <v>41</v>
      </c>
      <c r="S6" s="19" t="s">
        <v>2024</v>
      </c>
    </row>
    <row r="7" spans="1:19" hidden="1" x14ac:dyDescent="0.25">
      <c r="A7" s="28">
        <v>1438118</v>
      </c>
      <c r="B7" s="15" t="s">
        <v>2026</v>
      </c>
      <c r="C7" s="19" t="s">
        <v>12</v>
      </c>
      <c r="D7" s="21" t="s">
        <v>2011</v>
      </c>
      <c r="E7" s="19" t="s">
        <v>2017</v>
      </c>
      <c r="F7" s="19" t="s">
        <v>227</v>
      </c>
      <c r="G7" s="19" t="s">
        <v>2011</v>
      </c>
      <c r="H7" s="19" t="s">
        <v>2027</v>
      </c>
      <c r="I7" s="19" t="s">
        <v>969</v>
      </c>
      <c r="J7" s="19" t="s">
        <v>19</v>
      </c>
      <c r="K7" s="19" t="s">
        <v>19</v>
      </c>
      <c r="L7" s="19" t="s">
        <v>18</v>
      </c>
      <c r="M7" s="19" t="s">
        <v>19</v>
      </c>
      <c r="N7" s="19" t="s">
        <v>19</v>
      </c>
      <c r="O7" s="19"/>
      <c r="P7" s="19">
        <v>103.893056</v>
      </c>
      <c r="Q7" s="19">
        <v>1.4583330000000001</v>
      </c>
      <c r="R7" s="19" t="s">
        <v>20</v>
      </c>
      <c r="S7" s="19" t="s">
        <v>1870</v>
      </c>
    </row>
    <row r="8" spans="1:19" hidden="1" x14ac:dyDescent="0.25">
      <c r="A8" s="28">
        <v>1439118</v>
      </c>
      <c r="B8" s="15" t="s">
        <v>2026</v>
      </c>
      <c r="C8" s="19" t="s">
        <v>12</v>
      </c>
      <c r="D8" s="21" t="s">
        <v>2011</v>
      </c>
      <c r="E8" s="19" t="s">
        <v>2028</v>
      </c>
      <c r="F8" s="19" t="s">
        <v>2029</v>
      </c>
      <c r="G8" s="19" t="s">
        <v>2011</v>
      </c>
      <c r="H8" s="19" t="s">
        <v>1360</v>
      </c>
      <c r="I8" s="19" t="s">
        <v>1766</v>
      </c>
      <c r="J8" s="19" t="s">
        <v>19</v>
      </c>
      <c r="K8" s="19" t="s">
        <v>19</v>
      </c>
      <c r="L8" s="19" t="s">
        <v>18</v>
      </c>
      <c r="M8" s="19" t="s">
        <v>19</v>
      </c>
      <c r="N8" s="19" t="s">
        <v>19</v>
      </c>
      <c r="O8" s="19"/>
      <c r="P8" s="19">
        <v>103.9</v>
      </c>
      <c r="Q8" s="19">
        <v>1.476389</v>
      </c>
      <c r="R8" s="19" t="s">
        <v>20</v>
      </c>
      <c r="S8" s="19" t="s">
        <v>1870</v>
      </c>
    </row>
    <row r="9" spans="1:19" hidden="1" x14ac:dyDescent="0.25">
      <c r="A9" s="28">
        <v>1442001</v>
      </c>
      <c r="B9" s="15" t="s">
        <v>2030</v>
      </c>
      <c r="C9" s="19" t="s">
        <v>12</v>
      </c>
      <c r="D9" s="21" t="s">
        <v>2011</v>
      </c>
      <c r="E9" s="19" t="s">
        <v>2012</v>
      </c>
      <c r="F9" s="19" t="s">
        <v>2013</v>
      </c>
      <c r="G9" s="19" t="s">
        <v>2031</v>
      </c>
      <c r="H9" s="19" t="s">
        <v>326</v>
      </c>
      <c r="I9" s="19" t="s">
        <v>371</v>
      </c>
      <c r="J9" s="19" t="s">
        <v>19</v>
      </c>
      <c r="K9" s="19" t="s">
        <v>19</v>
      </c>
      <c r="L9" s="19" t="s">
        <v>18</v>
      </c>
      <c r="M9" s="19" t="s">
        <v>19</v>
      </c>
      <c r="N9" s="19" t="s">
        <v>19</v>
      </c>
      <c r="O9" s="19"/>
      <c r="P9" s="19">
        <v>104.26944399999999</v>
      </c>
      <c r="Q9" s="19">
        <v>1.4847220000000001</v>
      </c>
      <c r="R9" s="19" t="s">
        <v>2032</v>
      </c>
      <c r="S9" s="19" t="s">
        <v>1870</v>
      </c>
    </row>
    <row r="10" spans="1:19" hidden="1" x14ac:dyDescent="0.25">
      <c r="A10" s="28">
        <v>1534001</v>
      </c>
      <c r="B10" s="15" t="s">
        <v>2033</v>
      </c>
      <c r="C10" s="19" t="s">
        <v>12</v>
      </c>
      <c r="D10" s="21" t="s">
        <v>2011</v>
      </c>
      <c r="E10" s="19" t="s">
        <v>2012</v>
      </c>
      <c r="F10" s="19" t="s">
        <v>2034</v>
      </c>
      <c r="G10" s="19" t="s">
        <v>2014</v>
      </c>
      <c r="H10" s="19" t="s">
        <v>2018</v>
      </c>
      <c r="I10" s="19"/>
      <c r="J10" s="19" t="s">
        <v>18</v>
      </c>
      <c r="K10" s="19" t="s">
        <v>18</v>
      </c>
      <c r="L10" s="19" t="s">
        <v>18</v>
      </c>
      <c r="M10" s="19" t="s">
        <v>19</v>
      </c>
      <c r="N10" s="19" t="s">
        <v>18</v>
      </c>
      <c r="O10" s="19"/>
      <c r="P10" s="19">
        <v>103.419444</v>
      </c>
      <c r="Q10" s="19">
        <v>1.5013890000000001</v>
      </c>
      <c r="R10" s="19" t="s">
        <v>41</v>
      </c>
      <c r="S10" s="19" t="s">
        <v>1870</v>
      </c>
    </row>
    <row r="11" spans="1:19" hidden="1" x14ac:dyDescent="0.25">
      <c r="A11" s="28">
        <v>1534002</v>
      </c>
      <c r="B11" s="15" t="s">
        <v>2035</v>
      </c>
      <c r="C11" s="19" t="s">
        <v>12</v>
      </c>
      <c r="D11" s="21" t="s">
        <v>2011</v>
      </c>
      <c r="E11" s="19" t="s">
        <v>2012</v>
      </c>
      <c r="F11" s="19" t="s">
        <v>2036</v>
      </c>
      <c r="G11" s="19" t="s">
        <v>506</v>
      </c>
      <c r="H11" s="19" t="s">
        <v>756</v>
      </c>
      <c r="I11" s="19"/>
      <c r="J11" s="19" t="s">
        <v>18</v>
      </c>
      <c r="K11" s="19" t="s">
        <v>18</v>
      </c>
      <c r="L11" s="19" t="s">
        <v>18</v>
      </c>
      <c r="M11" s="19" t="s">
        <v>19</v>
      </c>
      <c r="N11" s="19" t="s">
        <v>18</v>
      </c>
      <c r="O11" s="19"/>
      <c r="P11" s="19">
        <v>103.494444</v>
      </c>
      <c r="Q11" s="19">
        <v>1.5152779999999999</v>
      </c>
      <c r="R11" s="19" t="s">
        <v>41</v>
      </c>
      <c r="S11" s="19" t="s">
        <v>1870</v>
      </c>
    </row>
    <row r="12" spans="1:19" hidden="1" x14ac:dyDescent="0.25">
      <c r="A12" s="28">
        <v>1534103</v>
      </c>
      <c r="B12" s="15" t="s">
        <v>2037</v>
      </c>
      <c r="C12" s="19" t="s">
        <v>12</v>
      </c>
      <c r="D12" s="21" t="s">
        <v>2011</v>
      </c>
      <c r="E12" s="19" t="s">
        <v>2012</v>
      </c>
      <c r="F12" s="19" t="s">
        <v>2038</v>
      </c>
      <c r="G12" s="19" t="s">
        <v>2039</v>
      </c>
      <c r="H12" s="19" t="s">
        <v>242</v>
      </c>
      <c r="I12" s="19" t="s">
        <v>2040</v>
      </c>
      <c r="J12" s="19" t="s">
        <v>19</v>
      </c>
      <c r="K12" s="19" t="s">
        <v>19</v>
      </c>
      <c r="L12" s="19" t="s">
        <v>18</v>
      </c>
      <c r="M12" s="19" t="s">
        <v>19</v>
      </c>
      <c r="N12" s="19" t="s">
        <v>19</v>
      </c>
      <c r="O12" s="19"/>
      <c r="P12" s="19">
        <v>103.465278</v>
      </c>
      <c r="Q12" s="19">
        <v>1.5902780000000001</v>
      </c>
      <c r="R12" s="19" t="s">
        <v>41</v>
      </c>
      <c r="S12" s="19" t="s">
        <v>1870</v>
      </c>
    </row>
    <row r="13" spans="1:19" hidden="1" x14ac:dyDescent="0.25">
      <c r="A13" s="28">
        <v>1534104</v>
      </c>
      <c r="B13" s="15" t="s">
        <v>2041</v>
      </c>
      <c r="C13" s="19" t="s">
        <v>12</v>
      </c>
      <c r="D13" s="21" t="s">
        <v>2011</v>
      </c>
      <c r="E13" s="19" t="s">
        <v>2012</v>
      </c>
      <c r="F13" s="19" t="s">
        <v>2036</v>
      </c>
      <c r="G13" s="19" t="s">
        <v>506</v>
      </c>
      <c r="H13" s="19" t="s">
        <v>750</v>
      </c>
      <c r="I13" s="19" t="s">
        <v>2042</v>
      </c>
      <c r="J13" s="19" t="s">
        <v>19</v>
      </c>
      <c r="K13" s="19" t="s">
        <v>19</v>
      </c>
      <c r="L13" s="19" t="s">
        <v>18</v>
      </c>
      <c r="M13" s="19" t="s">
        <v>19</v>
      </c>
      <c r="N13" s="19" t="s">
        <v>19</v>
      </c>
      <c r="O13" s="19"/>
      <c r="P13" s="19">
        <v>103.415278</v>
      </c>
      <c r="Q13" s="19">
        <v>1.5972219999999999</v>
      </c>
      <c r="R13" s="19" t="s">
        <v>164</v>
      </c>
      <c r="S13" s="19" t="s">
        <v>2015</v>
      </c>
    </row>
    <row r="14" spans="1:19" hidden="1" x14ac:dyDescent="0.25">
      <c r="A14" s="28">
        <v>1535106</v>
      </c>
      <c r="B14" s="15" t="s">
        <v>2043</v>
      </c>
      <c r="C14" s="19" t="s">
        <v>12</v>
      </c>
      <c r="D14" s="21" t="s">
        <v>2011</v>
      </c>
      <c r="E14" s="19" t="s">
        <v>2012</v>
      </c>
      <c r="F14" s="19" t="s">
        <v>2044</v>
      </c>
      <c r="G14" s="19" t="s">
        <v>2044</v>
      </c>
      <c r="H14" s="19" t="s">
        <v>124</v>
      </c>
      <c r="I14" s="19"/>
      <c r="J14" s="19" t="s">
        <v>18</v>
      </c>
      <c r="K14" s="19" t="s">
        <v>18</v>
      </c>
      <c r="L14" s="19" t="s">
        <v>18</v>
      </c>
      <c r="M14" s="19" t="s">
        <v>19</v>
      </c>
      <c r="N14" s="19" t="s">
        <v>18</v>
      </c>
      <c r="O14" s="19"/>
      <c r="P14" s="19">
        <v>103.579167</v>
      </c>
      <c r="Q14" s="19">
        <v>1.5638890000000001</v>
      </c>
      <c r="R14" s="19" t="s">
        <v>20</v>
      </c>
      <c r="S14" s="19" t="s">
        <v>1870</v>
      </c>
    </row>
    <row r="15" spans="1:19" hidden="1" x14ac:dyDescent="0.25">
      <c r="A15" s="28">
        <v>1535107</v>
      </c>
      <c r="B15" s="15" t="s">
        <v>2045</v>
      </c>
      <c r="C15" s="19" t="s">
        <v>12</v>
      </c>
      <c r="D15" s="21" t="s">
        <v>2011</v>
      </c>
      <c r="E15" s="19" t="s">
        <v>2012</v>
      </c>
      <c r="F15" s="19" t="s">
        <v>2036</v>
      </c>
      <c r="G15" s="19" t="s">
        <v>506</v>
      </c>
      <c r="H15" s="19" t="s">
        <v>1517</v>
      </c>
      <c r="I15" s="19" t="s">
        <v>23</v>
      </c>
      <c r="J15" s="19" t="s">
        <v>19</v>
      </c>
      <c r="K15" s="19" t="s">
        <v>19</v>
      </c>
      <c r="L15" s="19" t="s">
        <v>19</v>
      </c>
      <c r="M15" s="19" t="s">
        <v>19</v>
      </c>
      <c r="N15" s="19" t="s">
        <v>18</v>
      </c>
      <c r="O15" s="19"/>
      <c r="P15" s="19">
        <v>103.516667</v>
      </c>
      <c r="Q15" s="19">
        <v>1.5069440000000001</v>
      </c>
      <c r="R15" s="19" t="s">
        <v>41</v>
      </c>
      <c r="S15" s="19" t="s">
        <v>1870</v>
      </c>
    </row>
    <row r="16" spans="1:19" hidden="1" x14ac:dyDescent="0.25">
      <c r="A16" s="28">
        <v>1536110</v>
      </c>
      <c r="B16" s="15" t="s">
        <v>2046</v>
      </c>
      <c r="C16" s="19" t="s">
        <v>12</v>
      </c>
      <c r="D16" s="21" t="s">
        <v>2011</v>
      </c>
      <c r="E16" s="19" t="s">
        <v>2017</v>
      </c>
      <c r="F16" s="19" t="s">
        <v>2047</v>
      </c>
      <c r="G16" s="19" t="s">
        <v>2048</v>
      </c>
      <c r="H16" s="19" t="s">
        <v>301</v>
      </c>
      <c r="I16" s="19"/>
      <c r="J16" s="19" t="s">
        <v>18</v>
      </c>
      <c r="K16" s="19" t="s">
        <v>18</v>
      </c>
      <c r="L16" s="19" t="s">
        <v>18</v>
      </c>
      <c r="M16" s="19" t="s">
        <v>19</v>
      </c>
      <c r="N16" s="19" t="s">
        <v>19</v>
      </c>
      <c r="O16" s="19"/>
      <c r="P16" s="19">
        <v>103.654167</v>
      </c>
      <c r="Q16" s="19">
        <v>1.584722</v>
      </c>
      <c r="R16" s="19" t="s">
        <v>20</v>
      </c>
      <c r="S16" s="19" t="s">
        <v>1870</v>
      </c>
    </row>
    <row r="17" spans="1:19" hidden="1" x14ac:dyDescent="0.25">
      <c r="A17" s="28">
        <v>1536111</v>
      </c>
      <c r="B17" s="15" t="s">
        <v>2049</v>
      </c>
      <c r="C17" s="19" t="s">
        <v>12</v>
      </c>
      <c r="D17" s="21" t="s">
        <v>2011</v>
      </c>
      <c r="E17" s="19" t="s">
        <v>2017</v>
      </c>
      <c r="F17" s="19" t="s">
        <v>2050</v>
      </c>
      <c r="G17" s="19" t="s">
        <v>2051</v>
      </c>
      <c r="H17" s="19" t="s">
        <v>666</v>
      </c>
      <c r="I17" s="19" t="s">
        <v>513</v>
      </c>
      <c r="J17" s="19" t="s">
        <v>19</v>
      </c>
      <c r="K17" s="19" t="s">
        <v>19</v>
      </c>
      <c r="L17" s="19" t="s">
        <v>18</v>
      </c>
      <c r="M17" s="19" t="s">
        <v>19</v>
      </c>
      <c r="N17" s="19" t="s">
        <v>19</v>
      </c>
      <c r="O17" s="19"/>
      <c r="P17" s="19">
        <v>103.625</v>
      </c>
      <c r="Q17" s="19">
        <v>1.536111</v>
      </c>
      <c r="R17" s="19" t="s">
        <v>20</v>
      </c>
      <c r="S17" s="19" t="s">
        <v>1870</v>
      </c>
    </row>
    <row r="18" spans="1:19" hidden="1" x14ac:dyDescent="0.25">
      <c r="A18" s="28">
        <v>1537113</v>
      </c>
      <c r="B18" s="15" t="s">
        <v>2052</v>
      </c>
      <c r="C18" s="19" t="s">
        <v>12</v>
      </c>
      <c r="D18" s="21" t="s">
        <v>2011</v>
      </c>
      <c r="E18" s="19" t="s">
        <v>2017</v>
      </c>
      <c r="F18" s="19" t="s">
        <v>2050</v>
      </c>
      <c r="G18" s="19" t="s">
        <v>2051</v>
      </c>
      <c r="H18" s="19" t="s">
        <v>928</v>
      </c>
      <c r="I18" s="19"/>
      <c r="J18" s="19" t="s">
        <v>19</v>
      </c>
      <c r="K18" s="19" t="s">
        <v>19</v>
      </c>
      <c r="L18" s="19" t="s">
        <v>18</v>
      </c>
      <c r="M18" s="19" t="s">
        <v>19</v>
      </c>
      <c r="N18" s="19" t="s">
        <v>19</v>
      </c>
      <c r="O18" s="19"/>
      <c r="P18" s="19">
        <v>103.743056</v>
      </c>
      <c r="Q18" s="19">
        <v>1.55</v>
      </c>
      <c r="R18" s="19" t="s">
        <v>20</v>
      </c>
      <c r="S18" s="19" t="s">
        <v>1870</v>
      </c>
    </row>
    <row r="19" spans="1:19" hidden="1" x14ac:dyDescent="0.25">
      <c r="A19" s="28">
        <v>1537114</v>
      </c>
      <c r="B19" s="15" t="s">
        <v>2053</v>
      </c>
      <c r="C19" s="19" t="s">
        <v>12</v>
      </c>
      <c r="D19" s="21" t="s">
        <v>2011</v>
      </c>
      <c r="E19" s="19" t="s">
        <v>2017</v>
      </c>
      <c r="F19" s="19" t="s">
        <v>2047</v>
      </c>
      <c r="G19" s="19" t="s">
        <v>2048</v>
      </c>
      <c r="H19" s="19" t="s">
        <v>928</v>
      </c>
      <c r="I19" s="19" t="s">
        <v>2054</v>
      </c>
      <c r="J19" s="19" t="s">
        <v>19</v>
      </c>
      <c r="K19" s="19" t="s">
        <v>19</v>
      </c>
      <c r="L19" s="19" t="s">
        <v>18</v>
      </c>
      <c r="M19" s="19" t="s">
        <v>19</v>
      </c>
      <c r="N19" s="19" t="s">
        <v>19</v>
      </c>
      <c r="O19" s="19"/>
      <c r="P19" s="19">
        <v>103.77638899999999</v>
      </c>
      <c r="Q19" s="19">
        <v>1.55</v>
      </c>
      <c r="R19" s="19" t="s">
        <v>20</v>
      </c>
      <c r="S19" s="19" t="s">
        <v>1870</v>
      </c>
    </row>
    <row r="20" spans="1:19" hidden="1" x14ac:dyDescent="0.25">
      <c r="A20" s="28">
        <v>1537115</v>
      </c>
      <c r="B20" s="15" t="s">
        <v>2055</v>
      </c>
      <c r="C20" s="19" t="s">
        <v>12</v>
      </c>
      <c r="D20" s="21" t="s">
        <v>2011</v>
      </c>
      <c r="E20" s="19" t="s">
        <v>2017</v>
      </c>
      <c r="F20" s="19" t="s">
        <v>2056</v>
      </c>
      <c r="G20" s="19" t="s">
        <v>2011</v>
      </c>
      <c r="H20" s="19" t="s">
        <v>102</v>
      </c>
      <c r="I20" s="19" t="s">
        <v>2057</v>
      </c>
      <c r="J20" s="19" t="s">
        <v>19</v>
      </c>
      <c r="K20" s="19" t="s">
        <v>19</v>
      </c>
      <c r="L20" s="19" t="s">
        <v>18</v>
      </c>
      <c r="M20" s="19" t="s">
        <v>19</v>
      </c>
      <c r="N20" s="19" t="s">
        <v>19</v>
      </c>
      <c r="O20" s="19"/>
      <c r="P20" s="19">
        <v>103.731944</v>
      </c>
      <c r="Q20" s="19">
        <v>1.5013890000000001</v>
      </c>
      <c r="R20" s="19" t="s">
        <v>164</v>
      </c>
      <c r="S20" s="19" t="s">
        <v>1870</v>
      </c>
    </row>
    <row r="21" spans="1:19" hidden="1" x14ac:dyDescent="0.25">
      <c r="A21" s="28">
        <v>1538001</v>
      </c>
      <c r="B21" s="15" t="s">
        <v>2056</v>
      </c>
      <c r="C21" s="19" t="s">
        <v>12</v>
      </c>
      <c r="D21" s="21" t="s">
        <v>2011</v>
      </c>
      <c r="E21" s="19" t="s">
        <v>2017</v>
      </c>
      <c r="F21" s="19" t="s">
        <v>2056</v>
      </c>
      <c r="G21" s="19" t="s">
        <v>2058</v>
      </c>
      <c r="H21" s="19"/>
      <c r="I21" s="19"/>
      <c r="J21" s="19" t="s">
        <v>19</v>
      </c>
      <c r="K21" s="19" t="s">
        <v>18</v>
      </c>
      <c r="L21" s="19" t="s">
        <v>19</v>
      </c>
      <c r="M21" s="19" t="s">
        <v>18</v>
      </c>
      <c r="N21" s="19" t="s">
        <v>19</v>
      </c>
      <c r="O21" s="19"/>
      <c r="P21" s="19">
        <v>103.844444</v>
      </c>
      <c r="Q21" s="19">
        <v>1.5347219999999999</v>
      </c>
      <c r="R21" s="19"/>
      <c r="S21" s="19" t="s">
        <v>1870</v>
      </c>
    </row>
    <row r="22" spans="1:19" hidden="1" x14ac:dyDescent="0.25">
      <c r="A22" s="28">
        <v>1538117</v>
      </c>
      <c r="B22" s="15" t="s">
        <v>2059</v>
      </c>
      <c r="C22" s="19" t="s">
        <v>12</v>
      </c>
      <c r="D22" s="21" t="s">
        <v>2011</v>
      </c>
      <c r="E22" s="19" t="s">
        <v>2017</v>
      </c>
      <c r="F22" s="19" t="s">
        <v>2056</v>
      </c>
      <c r="G22" s="19" t="s">
        <v>2056</v>
      </c>
      <c r="H22" s="19" t="s">
        <v>943</v>
      </c>
      <c r="I22" s="19"/>
      <c r="J22" s="19" t="s">
        <v>18</v>
      </c>
      <c r="K22" s="19" t="s">
        <v>18</v>
      </c>
      <c r="L22" s="19" t="s">
        <v>18</v>
      </c>
      <c r="M22" s="19" t="s">
        <v>19</v>
      </c>
      <c r="N22" s="19" t="s">
        <v>19</v>
      </c>
      <c r="O22" s="19"/>
      <c r="P22" s="19">
        <v>103.844444</v>
      </c>
      <c r="Q22" s="19">
        <v>1.5347219999999999</v>
      </c>
      <c r="R22" s="19" t="s">
        <v>20</v>
      </c>
      <c r="S22" s="19" t="s">
        <v>1870</v>
      </c>
    </row>
    <row r="23" spans="1:19" hidden="1" x14ac:dyDescent="0.25">
      <c r="A23" s="28">
        <v>1539001</v>
      </c>
      <c r="B23" s="15" t="s">
        <v>2060</v>
      </c>
      <c r="C23" s="19" t="s">
        <v>12</v>
      </c>
      <c r="D23" s="21" t="s">
        <v>2011</v>
      </c>
      <c r="E23" s="19" t="s">
        <v>2017</v>
      </c>
      <c r="F23" s="19" t="s">
        <v>2061</v>
      </c>
      <c r="G23" s="19" t="s">
        <v>2011</v>
      </c>
      <c r="H23" s="19" t="s">
        <v>2062</v>
      </c>
      <c r="I23" s="19"/>
      <c r="J23" s="19" t="s">
        <v>18</v>
      </c>
      <c r="K23" s="19" t="s">
        <v>18</v>
      </c>
      <c r="L23" s="19" t="s">
        <v>18</v>
      </c>
      <c r="M23" s="19" t="s">
        <v>19</v>
      </c>
      <c r="N23" s="19" t="s">
        <v>19</v>
      </c>
      <c r="O23" s="19"/>
      <c r="P23" s="19">
        <v>103.925</v>
      </c>
      <c r="Q23" s="19">
        <v>1.5569440000000001</v>
      </c>
      <c r="R23" s="19" t="s">
        <v>2063</v>
      </c>
      <c r="S23" s="19" t="s">
        <v>1870</v>
      </c>
    </row>
    <row r="24" spans="1:19" hidden="1" x14ac:dyDescent="0.25">
      <c r="A24" s="28">
        <v>1539001</v>
      </c>
      <c r="B24" s="15" t="s">
        <v>2064</v>
      </c>
      <c r="C24" s="19" t="s">
        <v>12</v>
      </c>
      <c r="D24" s="21" t="s">
        <v>2011</v>
      </c>
      <c r="E24" s="19" t="s">
        <v>2017</v>
      </c>
      <c r="F24" s="19" t="s">
        <v>2065</v>
      </c>
      <c r="G24" s="19" t="s">
        <v>2058</v>
      </c>
      <c r="H24" s="19"/>
      <c r="I24" s="19"/>
      <c r="J24" s="19" t="s">
        <v>19</v>
      </c>
      <c r="K24" s="19" t="s">
        <v>18</v>
      </c>
      <c r="L24" s="19" t="s">
        <v>19</v>
      </c>
      <c r="M24" s="19" t="s">
        <v>18</v>
      </c>
      <c r="N24" s="19" t="s">
        <v>19</v>
      </c>
      <c r="O24" s="19"/>
      <c r="P24" s="19">
        <v>103.91805600000001</v>
      </c>
      <c r="Q24" s="19">
        <v>1.5874999999999999</v>
      </c>
      <c r="R24" s="19"/>
      <c r="S24" s="19" t="s">
        <v>1870</v>
      </c>
    </row>
    <row r="25" spans="1:19" hidden="1" x14ac:dyDescent="0.25">
      <c r="A25" s="28">
        <v>1539134</v>
      </c>
      <c r="B25" s="15" t="s">
        <v>2066</v>
      </c>
      <c r="C25" s="19" t="s">
        <v>12</v>
      </c>
      <c r="D25" s="21" t="s">
        <v>2011</v>
      </c>
      <c r="E25" s="19" t="s">
        <v>2017</v>
      </c>
      <c r="F25" s="19" t="s">
        <v>2065</v>
      </c>
      <c r="G25" s="19" t="s">
        <v>2065</v>
      </c>
      <c r="H25" s="19" t="s">
        <v>1378</v>
      </c>
      <c r="I25" s="19"/>
      <c r="J25" s="19" t="s">
        <v>18</v>
      </c>
      <c r="K25" s="19" t="s">
        <v>18</v>
      </c>
      <c r="L25" s="19" t="s">
        <v>18</v>
      </c>
      <c r="M25" s="19" t="s">
        <v>19</v>
      </c>
      <c r="N25" s="19" t="s">
        <v>19</v>
      </c>
      <c r="O25" s="19"/>
      <c r="P25" s="19">
        <v>103.91805600000001</v>
      </c>
      <c r="Q25" s="19">
        <v>1.5874999999999999</v>
      </c>
      <c r="R25" s="19" t="s">
        <v>20</v>
      </c>
      <c r="S25" s="19" t="s">
        <v>1870</v>
      </c>
    </row>
    <row r="26" spans="1:19" hidden="1" x14ac:dyDescent="0.25">
      <c r="A26" s="28">
        <v>1539136</v>
      </c>
      <c r="B26" s="15" t="s">
        <v>2067</v>
      </c>
      <c r="C26" s="19" t="s">
        <v>12</v>
      </c>
      <c r="D26" s="21" t="s">
        <v>2011</v>
      </c>
      <c r="E26" s="19" t="s">
        <v>2017</v>
      </c>
      <c r="F26" s="19" t="s">
        <v>2068</v>
      </c>
      <c r="G26" s="19" t="s">
        <v>2011</v>
      </c>
      <c r="H26" s="19" t="s">
        <v>2069</v>
      </c>
      <c r="I26" s="19"/>
      <c r="J26" s="19" t="s">
        <v>18</v>
      </c>
      <c r="K26" s="19" t="s">
        <v>18</v>
      </c>
      <c r="L26" s="19" t="s">
        <v>18</v>
      </c>
      <c r="M26" s="19" t="s">
        <v>19</v>
      </c>
      <c r="N26" s="19" t="s">
        <v>18</v>
      </c>
      <c r="O26" s="19"/>
      <c r="P26" s="19">
        <v>103.99166700000001</v>
      </c>
      <c r="Q26" s="19">
        <v>1.5208330000000001</v>
      </c>
      <c r="R26" s="19" t="s">
        <v>20</v>
      </c>
      <c r="S26" s="19" t="s">
        <v>1870</v>
      </c>
    </row>
    <row r="27" spans="1:19" hidden="1" x14ac:dyDescent="0.25">
      <c r="A27" s="28">
        <v>1540135</v>
      </c>
      <c r="B27" s="15" t="s">
        <v>2070</v>
      </c>
      <c r="C27" s="19" t="s">
        <v>12</v>
      </c>
      <c r="D27" s="21" t="s">
        <v>2011</v>
      </c>
      <c r="E27" s="19" t="s">
        <v>2028</v>
      </c>
      <c r="F27" s="19" t="s">
        <v>2071</v>
      </c>
      <c r="G27" s="19" t="s">
        <v>2011</v>
      </c>
      <c r="H27" s="19" t="s">
        <v>943</v>
      </c>
      <c r="I27" s="19"/>
      <c r="J27" s="19" t="s">
        <v>18</v>
      </c>
      <c r="K27" s="19" t="s">
        <v>18</v>
      </c>
      <c r="L27" s="19" t="s">
        <v>18</v>
      </c>
      <c r="M27" s="19" t="s">
        <v>19</v>
      </c>
      <c r="N27" s="19" t="s">
        <v>19</v>
      </c>
      <c r="O27" s="19"/>
      <c r="P27" s="19">
        <v>104.038889</v>
      </c>
      <c r="Q27" s="19">
        <v>1.5680559999999999</v>
      </c>
      <c r="R27" s="19" t="s">
        <v>20</v>
      </c>
      <c r="S27" s="19" t="s">
        <v>2072</v>
      </c>
    </row>
    <row r="28" spans="1:19" hidden="1" x14ac:dyDescent="0.25">
      <c r="A28" s="28">
        <v>1541001</v>
      </c>
      <c r="B28" s="15" t="s">
        <v>2073</v>
      </c>
      <c r="C28" s="19" t="s">
        <v>12</v>
      </c>
      <c r="D28" s="21" t="s">
        <v>2011</v>
      </c>
      <c r="E28" s="19" t="s">
        <v>2028</v>
      </c>
      <c r="F28" s="19" t="s">
        <v>2074</v>
      </c>
      <c r="G28" s="19" t="s">
        <v>2011</v>
      </c>
      <c r="H28" s="19" t="s">
        <v>2075</v>
      </c>
      <c r="I28" s="19" t="s">
        <v>2076</v>
      </c>
      <c r="J28" s="19" t="s">
        <v>19</v>
      </c>
      <c r="K28" s="19" t="s">
        <v>19</v>
      </c>
      <c r="L28" s="19" t="s">
        <v>18</v>
      </c>
      <c r="M28" s="19" t="s">
        <v>19</v>
      </c>
      <c r="N28" s="19" t="s">
        <v>19</v>
      </c>
      <c r="O28" s="19"/>
      <c r="P28" s="19">
        <v>104.198611</v>
      </c>
      <c r="Q28" s="19">
        <v>1.576389</v>
      </c>
      <c r="R28" s="19" t="s">
        <v>41</v>
      </c>
      <c r="S28" s="19" t="s">
        <v>1870</v>
      </c>
    </row>
    <row r="29" spans="1:19" hidden="1" x14ac:dyDescent="0.25">
      <c r="A29" s="28">
        <v>1541137</v>
      </c>
      <c r="B29" s="15" t="s">
        <v>2077</v>
      </c>
      <c r="C29" s="19" t="s">
        <v>12</v>
      </c>
      <c r="D29" s="21" t="s">
        <v>2011</v>
      </c>
      <c r="E29" s="19" t="s">
        <v>2028</v>
      </c>
      <c r="F29" s="19" t="s">
        <v>2078</v>
      </c>
      <c r="G29" s="19" t="s">
        <v>2011</v>
      </c>
      <c r="H29" s="19" t="s">
        <v>2079</v>
      </c>
      <c r="I29" s="19"/>
      <c r="J29" s="19" t="s">
        <v>18</v>
      </c>
      <c r="K29" s="19" t="s">
        <v>18</v>
      </c>
      <c r="L29" s="19" t="s">
        <v>18</v>
      </c>
      <c r="M29" s="19" t="s">
        <v>19</v>
      </c>
      <c r="N29" s="19" t="s">
        <v>19</v>
      </c>
      <c r="O29" s="19"/>
      <c r="P29" s="19">
        <v>104.10555600000001</v>
      </c>
      <c r="Q29" s="19">
        <v>1.5</v>
      </c>
      <c r="R29" s="19" t="s">
        <v>20</v>
      </c>
      <c r="S29" s="19" t="s">
        <v>2080</v>
      </c>
    </row>
    <row r="30" spans="1:19" hidden="1" x14ac:dyDescent="0.25">
      <c r="A30" s="28">
        <v>1541138</v>
      </c>
      <c r="B30" s="15" t="s">
        <v>2081</v>
      </c>
      <c r="C30" s="19" t="s">
        <v>12</v>
      </c>
      <c r="D30" s="21" t="s">
        <v>2011</v>
      </c>
      <c r="E30" s="19" t="s">
        <v>2082</v>
      </c>
      <c r="F30" s="19" t="s">
        <v>2083</v>
      </c>
      <c r="G30" s="19" t="s">
        <v>2082</v>
      </c>
      <c r="H30" s="19" t="s">
        <v>2075</v>
      </c>
      <c r="I30" s="19" t="s">
        <v>635</v>
      </c>
      <c r="J30" s="19" t="s">
        <v>19</v>
      </c>
      <c r="K30" s="19" t="s">
        <v>19</v>
      </c>
      <c r="L30" s="19" t="s">
        <v>18</v>
      </c>
      <c r="M30" s="19" t="s">
        <v>19</v>
      </c>
      <c r="N30" s="19" t="s">
        <v>19</v>
      </c>
      <c r="O30" s="19"/>
      <c r="P30" s="19">
        <v>104.156944</v>
      </c>
      <c r="Q30" s="19">
        <v>1.5472220000000001</v>
      </c>
      <c r="R30" s="19" t="s">
        <v>41</v>
      </c>
      <c r="S30" s="19" t="s">
        <v>1870</v>
      </c>
    </row>
    <row r="31" spans="1:19" hidden="1" x14ac:dyDescent="0.25">
      <c r="A31" s="28">
        <v>1541139</v>
      </c>
      <c r="B31" s="15" t="s">
        <v>2084</v>
      </c>
      <c r="C31" s="19" t="s">
        <v>12</v>
      </c>
      <c r="D31" s="21" t="s">
        <v>2011</v>
      </c>
      <c r="E31" s="19" t="s">
        <v>2028</v>
      </c>
      <c r="F31" s="19" t="s">
        <v>2029</v>
      </c>
      <c r="G31" s="19" t="s">
        <v>2011</v>
      </c>
      <c r="H31" s="19" t="s">
        <v>2076</v>
      </c>
      <c r="I31" s="19"/>
      <c r="J31" s="19" t="s">
        <v>18</v>
      </c>
      <c r="K31" s="19" t="s">
        <v>18</v>
      </c>
      <c r="L31" s="19" t="s">
        <v>19</v>
      </c>
      <c r="M31" s="19" t="s">
        <v>19</v>
      </c>
      <c r="N31" s="19" t="s">
        <v>18</v>
      </c>
      <c r="O31" s="19"/>
      <c r="P31" s="19">
        <v>104.18472199999999</v>
      </c>
      <c r="Q31" s="19">
        <v>1.526389</v>
      </c>
      <c r="R31" s="19" t="s">
        <v>41</v>
      </c>
      <c r="S31" s="19" t="s">
        <v>2085</v>
      </c>
    </row>
    <row r="32" spans="1:19" hidden="1" x14ac:dyDescent="0.25">
      <c r="A32" s="28">
        <v>1631001</v>
      </c>
      <c r="B32" s="15" t="s">
        <v>2086</v>
      </c>
      <c r="C32" s="19" t="s">
        <v>12</v>
      </c>
      <c r="D32" s="21" t="s">
        <v>2011</v>
      </c>
      <c r="E32" s="19" t="s">
        <v>2082</v>
      </c>
      <c r="F32" s="19" t="s">
        <v>2087</v>
      </c>
      <c r="G32" s="19" t="s">
        <v>2082</v>
      </c>
      <c r="H32" s="19" t="s">
        <v>2040</v>
      </c>
      <c r="I32" s="19"/>
      <c r="J32" s="19" t="s">
        <v>18</v>
      </c>
      <c r="K32" s="19" t="s">
        <v>18</v>
      </c>
      <c r="L32" s="19" t="s">
        <v>18</v>
      </c>
      <c r="M32" s="19" t="s">
        <v>19</v>
      </c>
      <c r="N32" s="19" t="s">
        <v>18</v>
      </c>
      <c r="O32" s="19"/>
      <c r="P32" s="19">
        <v>103.148611</v>
      </c>
      <c r="Q32" s="19">
        <v>1.6666669999999999</v>
      </c>
      <c r="R32" s="19" t="s">
        <v>41</v>
      </c>
      <c r="S32" s="19" t="s">
        <v>1870</v>
      </c>
    </row>
    <row r="33" spans="1:19" hidden="1" x14ac:dyDescent="0.25">
      <c r="A33" s="28">
        <v>1631084</v>
      </c>
      <c r="B33" s="15" t="s">
        <v>2088</v>
      </c>
      <c r="C33" s="19" t="s">
        <v>12</v>
      </c>
      <c r="D33" s="21" t="s">
        <v>2011</v>
      </c>
      <c r="E33" s="19" t="s">
        <v>2082</v>
      </c>
      <c r="F33" s="19" t="s">
        <v>2089</v>
      </c>
      <c r="G33" s="19" t="s">
        <v>2090</v>
      </c>
      <c r="H33" s="19" t="s">
        <v>1543</v>
      </c>
      <c r="I33" s="19" t="s">
        <v>2040</v>
      </c>
      <c r="J33" s="19" t="s">
        <v>19</v>
      </c>
      <c r="K33" s="19" t="s">
        <v>19</v>
      </c>
      <c r="L33" s="19" t="s">
        <v>18</v>
      </c>
      <c r="M33" s="19" t="s">
        <v>19</v>
      </c>
      <c r="N33" s="19" t="s">
        <v>19</v>
      </c>
      <c r="O33" s="19"/>
      <c r="P33" s="19">
        <v>103.148611</v>
      </c>
      <c r="Q33" s="19">
        <v>1.6805559999999999</v>
      </c>
      <c r="R33" s="19" t="s">
        <v>41</v>
      </c>
      <c r="S33" s="19" t="s">
        <v>2091</v>
      </c>
    </row>
    <row r="34" spans="1:19" hidden="1" x14ac:dyDescent="0.25">
      <c r="A34" s="28">
        <v>1632001</v>
      </c>
      <c r="B34" s="15" t="s">
        <v>2092</v>
      </c>
      <c r="C34" s="19" t="s">
        <v>12</v>
      </c>
      <c r="D34" s="21" t="s">
        <v>2011</v>
      </c>
      <c r="E34" s="19" t="s">
        <v>2012</v>
      </c>
      <c r="F34" s="19" t="s">
        <v>2089</v>
      </c>
      <c r="G34" s="19" t="s">
        <v>2090</v>
      </c>
      <c r="H34" s="19" t="s">
        <v>411</v>
      </c>
      <c r="I34" s="19"/>
      <c r="J34" s="19" t="s">
        <v>18</v>
      </c>
      <c r="K34" s="19" t="s">
        <v>18</v>
      </c>
      <c r="L34" s="19" t="s">
        <v>18</v>
      </c>
      <c r="M34" s="19" t="s">
        <v>19</v>
      </c>
      <c r="N34" s="19" t="s">
        <v>18</v>
      </c>
      <c r="O34" s="19"/>
      <c r="P34" s="19">
        <v>103.26388900000001</v>
      </c>
      <c r="Q34" s="19">
        <v>1.65</v>
      </c>
      <c r="R34" s="19" t="s">
        <v>41</v>
      </c>
      <c r="S34" s="19" t="s">
        <v>1870</v>
      </c>
    </row>
    <row r="35" spans="1:19" hidden="1" x14ac:dyDescent="0.25">
      <c r="A35" s="28">
        <v>1632095</v>
      </c>
      <c r="B35" s="15" t="s">
        <v>2093</v>
      </c>
      <c r="C35" s="19" t="s">
        <v>12</v>
      </c>
      <c r="D35" s="21" t="s">
        <v>2011</v>
      </c>
      <c r="E35" s="19" t="s">
        <v>2082</v>
      </c>
      <c r="F35" s="19" t="s">
        <v>2094</v>
      </c>
      <c r="G35" s="19" t="s">
        <v>2095</v>
      </c>
      <c r="H35" s="19" t="s">
        <v>1843</v>
      </c>
      <c r="I35" s="19" t="s">
        <v>2096</v>
      </c>
      <c r="J35" s="19" t="s">
        <v>19</v>
      </c>
      <c r="K35" s="19" t="s">
        <v>19</v>
      </c>
      <c r="L35" s="19" t="s">
        <v>18</v>
      </c>
      <c r="M35" s="19" t="s">
        <v>19</v>
      </c>
      <c r="N35" s="19" t="s">
        <v>19</v>
      </c>
      <c r="O35" s="19"/>
      <c r="P35" s="19">
        <v>103.25</v>
      </c>
      <c r="Q35" s="19">
        <v>1.6722220000000001</v>
      </c>
      <c r="R35" s="19" t="s">
        <v>41</v>
      </c>
      <c r="S35" s="19" t="s">
        <v>2085</v>
      </c>
    </row>
    <row r="36" spans="1:19" hidden="1" x14ac:dyDescent="0.25">
      <c r="A36" s="28">
        <v>1632096</v>
      </c>
      <c r="B36" s="15" t="s">
        <v>2097</v>
      </c>
      <c r="C36" s="19" t="s">
        <v>12</v>
      </c>
      <c r="D36" s="21" t="s">
        <v>2011</v>
      </c>
      <c r="E36" s="19" t="s">
        <v>2082</v>
      </c>
      <c r="F36" s="19" t="s">
        <v>2089</v>
      </c>
      <c r="G36" s="19" t="s">
        <v>2090</v>
      </c>
      <c r="H36" s="19" t="s">
        <v>2098</v>
      </c>
      <c r="I36" s="19"/>
      <c r="J36" s="19" t="s">
        <v>18</v>
      </c>
      <c r="K36" s="19" t="s">
        <v>18</v>
      </c>
      <c r="L36" s="19" t="s">
        <v>18</v>
      </c>
      <c r="M36" s="19" t="s">
        <v>19</v>
      </c>
      <c r="N36" s="19" t="s">
        <v>18</v>
      </c>
      <c r="O36" s="19"/>
      <c r="P36" s="19">
        <v>103.202778</v>
      </c>
      <c r="Q36" s="19">
        <v>1.6263890000000001</v>
      </c>
      <c r="R36" s="19" t="s">
        <v>41</v>
      </c>
      <c r="S36" s="19" t="s">
        <v>2091</v>
      </c>
    </row>
    <row r="37" spans="1:19" hidden="1" x14ac:dyDescent="0.25">
      <c r="A37" s="28">
        <v>1635102</v>
      </c>
      <c r="B37" s="15" t="s">
        <v>2099</v>
      </c>
      <c r="C37" s="19" t="s">
        <v>12</v>
      </c>
      <c r="D37" s="21" t="s">
        <v>2011</v>
      </c>
      <c r="E37" s="19" t="s">
        <v>2017</v>
      </c>
      <c r="F37" s="19" t="s">
        <v>2100</v>
      </c>
      <c r="G37" s="19" t="s">
        <v>2101</v>
      </c>
      <c r="H37" s="19" t="s">
        <v>928</v>
      </c>
      <c r="I37" s="19"/>
      <c r="J37" s="19" t="s">
        <v>18</v>
      </c>
      <c r="K37" s="19" t="s">
        <v>18</v>
      </c>
      <c r="L37" s="19" t="s">
        <v>18</v>
      </c>
      <c r="M37" s="19" t="s">
        <v>19</v>
      </c>
      <c r="N37" s="19" t="s">
        <v>18</v>
      </c>
      <c r="O37" s="19"/>
      <c r="P37" s="19">
        <v>103.531944</v>
      </c>
      <c r="Q37" s="19">
        <v>1.629167</v>
      </c>
      <c r="R37" s="19" t="s">
        <v>20</v>
      </c>
      <c r="S37" s="19" t="s">
        <v>1870</v>
      </c>
    </row>
    <row r="38" spans="1:19" hidden="1" x14ac:dyDescent="0.25">
      <c r="A38" s="28">
        <v>1636001</v>
      </c>
      <c r="B38" s="15" t="s">
        <v>2102</v>
      </c>
      <c r="C38" s="19" t="s">
        <v>12</v>
      </c>
      <c r="D38" s="21" t="s">
        <v>2011</v>
      </c>
      <c r="E38" s="19" t="s">
        <v>2017</v>
      </c>
      <c r="F38" s="19" t="s">
        <v>2050</v>
      </c>
      <c r="G38" s="19" t="s">
        <v>2051</v>
      </c>
      <c r="H38" s="19" t="s">
        <v>510</v>
      </c>
      <c r="I38" s="19"/>
      <c r="J38" s="19" t="s">
        <v>18</v>
      </c>
      <c r="K38" s="19" t="s">
        <v>18</v>
      </c>
      <c r="L38" s="19" t="s">
        <v>19</v>
      </c>
      <c r="M38" s="19" t="s">
        <v>19</v>
      </c>
      <c r="N38" s="19" t="s">
        <v>18</v>
      </c>
      <c r="O38" s="19"/>
      <c r="P38" s="19">
        <v>103.697222</v>
      </c>
      <c r="Q38" s="19">
        <v>1.6305559999999999</v>
      </c>
      <c r="R38" s="19" t="s">
        <v>41</v>
      </c>
      <c r="S38" s="19" t="s">
        <v>1870</v>
      </c>
    </row>
    <row r="39" spans="1:19" hidden="1" x14ac:dyDescent="0.25">
      <c r="A39" s="28">
        <v>1636002</v>
      </c>
      <c r="B39" s="15" t="s">
        <v>2103</v>
      </c>
      <c r="C39" s="19" t="s">
        <v>12</v>
      </c>
      <c r="D39" s="21" t="s">
        <v>2011</v>
      </c>
      <c r="E39" s="19" t="s">
        <v>2017</v>
      </c>
      <c r="F39" s="19" t="s">
        <v>2047</v>
      </c>
      <c r="G39" s="19" t="s">
        <v>2048</v>
      </c>
      <c r="H39" s="19" t="s">
        <v>2104</v>
      </c>
      <c r="I39" s="19"/>
      <c r="J39" s="19" t="s">
        <v>19</v>
      </c>
      <c r="K39" s="19" t="s">
        <v>18</v>
      </c>
      <c r="L39" s="19" t="s">
        <v>19</v>
      </c>
      <c r="M39" s="19" t="s">
        <v>18</v>
      </c>
      <c r="N39" s="19" t="s">
        <v>18</v>
      </c>
      <c r="O39" s="19"/>
      <c r="P39" s="19">
        <v>103.62861100000001</v>
      </c>
      <c r="Q39" s="19">
        <v>1.6519440000000001</v>
      </c>
      <c r="R39" s="19" t="s">
        <v>41</v>
      </c>
      <c r="S39" s="19" t="s">
        <v>1870</v>
      </c>
    </row>
    <row r="40" spans="1:19" hidden="1" x14ac:dyDescent="0.25">
      <c r="A40" s="28">
        <v>1636109</v>
      </c>
      <c r="B40" s="15" t="s">
        <v>2105</v>
      </c>
      <c r="C40" s="19" t="s">
        <v>12</v>
      </c>
      <c r="D40" s="21" t="s">
        <v>2011</v>
      </c>
      <c r="E40" s="19" t="s">
        <v>2017</v>
      </c>
      <c r="F40" s="19" t="s">
        <v>2058</v>
      </c>
      <c r="G40" s="19" t="s">
        <v>2011</v>
      </c>
      <c r="H40" s="19" t="s">
        <v>2106</v>
      </c>
      <c r="I40" s="19" t="s">
        <v>2107</v>
      </c>
      <c r="J40" s="19" t="s">
        <v>19</v>
      </c>
      <c r="K40" s="19" t="s">
        <v>19</v>
      </c>
      <c r="L40" s="19" t="s">
        <v>18</v>
      </c>
      <c r="M40" s="19" t="s">
        <v>19</v>
      </c>
      <c r="N40" s="19" t="s">
        <v>19</v>
      </c>
      <c r="O40" s="19"/>
      <c r="P40" s="19">
        <v>103.629167</v>
      </c>
      <c r="Q40" s="19">
        <v>1.6819440000000001</v>
      </c>
      <c r="R40" s="19" t="s">
        <v>20</v>
      </c>
      <c r="S40" s="19" t="s">
        <v>1870</v>
      </c>
    </row>
    <row r="41" spans="1:19" hidden="1" x14ac:dyDescent="0.25">
      <c r="A41" s="28">
        <v>1637001</v>
      </c>
      <c r="B41" s="15" t="s">
        <v>2655</v>
      </c>
      <c r="C41" s="19" t="s">
        <v>12</v>
      </c>
      <c r="D41" s="21" t="s">
        <v>2011</v>
      </c>
      <c r="E41" s="19" t="s">
        <v>2017</v>
      </c>
      <c r="F41" s="19" t="s">
        <v>2061</v>
      </c>
      <c r="G41" s="19" t="s">
        <v>2011</v>
      </c>
      <c r="H41" s="19" t="s">
        <v>246</v>
      </c>
      <c r="I41" s="19" t="s">
        <v>2108</v>
      </c>
      <c r="J41" s="19" t="s">
        <v>19</v>
      </c>
      <c r="K41" s="19" t="s">
        <v>19</v>
      </c>
      <c r="L41" s="19" t="s">
        <v>18</v>
      </c>
      <c r="M41" s="19" t="s">
        <v>19</v>
      </c>
      <c r="N41" s="19" t="s">
        <v>19</v>
      </c>
      <c r="O41" s="19"/>
      <c r="P41" s="19">
        <v>103.779167</v>
      </c>
      <c r="Q41" s="19">
        <v>1.629167</v>
      </c>
      <c r="R41" s="19" t="s">
        <v>421</v>
      </c>
      <c r="S41" s="19" t="s">
        <v>1870</v>
      </c>
    </row>
    <row r="42" spans="1:19" hidden="1" x14ac:dyDescent="0.25">
      <c r="A42" s="28">
        <v>1637133</v>
      </c>
      <c r="B42" s="15" t="s">
        <v>2109</v>
      </c>
      <c r="C42" s="19" t="s">
        <v>12</v>
      </c>
      <c r="D42" s="21" t="s">
        <v>2011</v>
      </c>
      <c r="E42" s="19" t="s">
        <v>2028</v>
      </c>
      <c r="F42" s="19" t="s">
        <v>2065</v>
      </c>
      <c r="G42" s="19" t="s">
        <v>2011</v>
      </c>
      <c r="H42" s="19" t="s">
        <v>943</v>
      </c>
      <c r="I42" s="19" t="s">
        <v>246</v>
      </c>
      <c r="J42" s="19" t="s">
        <v>19</v>
      </c>
      <c r="K42" s="19" t="s">
        <v>19</v>
      </c>
      <c r="L42" s="19" t="s">
        <v>18</v>
      </c>
      <c r="M42" s="19" t="s">
        <v>19</v>
      </c>
      <c r="N42" s="19" t="s">
        <v>19</v>
      </c>
      <c r="O42" s="19"/>
      <c r="P42" s="19">
        <v>103.779167</v>
      </c>
      <c r="Q42" s="19">
        <v>1.629167</v>
      </c>
      <c r="R42" s="19" t="s">
        <v>20</v>
      </c>
      <c r="S42" s="19" t="s">
        <v>2110</v>
      </c>
    </row>
    <row r="43" spans="1:19" hidden="1" x14ac:dyDescent="0.25">
      <c r="A43" s="28">
        <v>1639132</v>
      </c>
      <c r="B43" s="15" t="s">
        <v>2111</v>
      </c>
      <c r="C43" s="19" t="s">
        <v>12</v>
      </c>
      <c r="D43" s="21" t="s">
        <v>2011</v>
      </c>
      <c r="E43" s="19" t="s">
        <v>2028</v>
      </c>
      <c r="F43" s="19" t="s">
        <v>2112</v>
      </c>
      <c r="G43" s="19" t="s">
        <v>2011</v>
      </c>
      <c r="H43" s="19" t="s">
        <v>2069</v>
      </c>
      <c r="I43" s="19" t="s">
        <v>2113</v>
      </c>
      <c r="J43" s="19" t="s">
        <v>19</v>
      </c>
      <c r="K43" s="19" t="s">
        <v>19</v>
      </c>
      <c r="L43" s="19" t="s">
        <v>18</v>
      </c>
      <c r="M43" s="19" t="s">
        <v>19</v>
      </c>
      <c r="N43" s="19" t="s">
        <v>19</v>
      </c>
      <c r="O43" s="19"/>
      <c r="P43" s="19">
        <v>103.926389</v>
      </c>
      <c r="Q43" s="19">
        <v>1.6541669999999999</v>
      </c>
      <c r="R43" s="19" t="s">
        <v>20</v>
      </c>
      <c r="S43" s="19" t="s">
        <v>1870</v>
      </c>
    </row>
    <row r="44" spans="1:19" hidden="1" x14ac:dyDescent="0.25">
      <c r="A44" s="28">
        <v>1640141</v>
      </c>
      <c r="B44" s="15" t="s">
        <v>2114</v>
      </c>
      <c r="C44" s="19" t="s">
        <v>12</v>
      </c>
      <c r="D44" s="21" t="s">
        <v>2011</v>
      </c>
      <c r="E44" s="19" t="s">
        <v>2028</v>
      </c>
      <c r="F44" s="19" t="s">
        <v>2071</v>
      </c>
      <c r="G44" s="19" t="s">
        <v>2011</v>
      </c>
      <c r="H44" s="19" t="s">
        <v>1133</v>
      </c>
      <c r="I44" s="19"/>
      <c r="J44" s="19" t="s">
        <v>18</v>
      </c>
      <c r="K44" s="19" t="s">
        <v>18</v>
      </c>
      <c r="L44" s="19" t="s">
        <v>18</v>
      </c>
      <c r="M44" s="19" t="s">
        <v>19</v>
      </c>
      <c r="N44" s="19" t="s">
        <v>19</v>
      </c>
      <c r="O44" s="19"/>
      <c r="P44" s="19">
        <v>104.044444</v>
      </c>
      <c r="Q44" s="19">
        <v>1.620833</v>
      </c>
      <c r="R44" s="19" t="s">
        <v>421</v>
      </c>
      <c r="S44" s="19" t="s">
        <v>1870</v>
      </c>
    </row>
    <row r="45" spans="1:19" hidden="1" x14ac:dyDescent="0.25">
      <c r="A45" s="28">
        <v>1730081</v>
      </c>
      <c r="B45" s="15" t="s">
        <v>2115</v>
      </c>
      <c r="C45" s="19" t="s">
        <v>12</v>
      </c>
      <c r="D45" s="21" t="s">
        <v>2011</v>
      </c>
      <c r="E45" s="19" t="s">
        <v>2082</v>
      </c>
      <c r="F45" s="19" t="s">
        <v>2116</v>
      </c>
      <c r="G45" s="19" t="s">
        <v>2117</v>
      </c>
      <c r="H45" s="19" t="s">
        <v>2118</v>
      </c>
      <c r="I45" s="19" t="s">
        <v>1368</v>
      </c>
      <c r="J45" s="19" t="s">
        <v>19</v>
      </c>
      <c r="K45" s="19" t="s">
        <v>19</v>
      </c>
      <c r="L45" s="19" t="s">
        <v>18</v>
      </c>
      <c r="M45" s="19" t="s">
        <v>19</v>
      </c>
      <c r="N45" s="19" t="s">
        <v>19</v>
      </c>
      <c r="O45" s="19"/>
      <c r="P45" s="19">
        <v>103</v>
      </c>
      <c r="Q45" s="19">
        <v>1.7611110000000001</v>
      </c>
      <c r="R45" s="19" t="s">
        <v>164</v>
      </c>
      <c r="S45" s="19" t="s">
        <v>1870</v>
      </c>
    </row>
    <row r="46" spans="1:19" hidden="1" x14ac:dyDescent="0.25">
      <c r="A46" s="28">
        <v>1730082</v>
      </c>
      <c r="B46" s="15" t="s">
        <v>2119</v>
      </c>
      <c r="C46" s="19" t="s">
        <v>12</v>
      </c>
      <c r="D46" s="21" t="s">
        <v>2011</v>
      </c>
      <c r="E46" s="19" t="s">
        <v>2082</v>
      </c>
      <c r="F46" s="19" t="s">
        <v>2120</v>
      </c>
      <c r="G46" s="19" t="s">
        <v>2082</v>
      </c>
      <c r="H46" s="19" t="s">
        <v>1543</v>
      </c>
      <c r="I46" s="19"/>
      <c r="J46" s="19" t="s">
        <v>18</v>
      </c>
      <c r="K46" s="19" t="s">
        <v>18</v>
      </c>
      <c r="L46" s="19" t="s">
        <v>18</v>
      </c>
      <c r="M46" s="19" t="s">
        <v>18</v>
      </c>
      <c r="N46" s="19" t="s">
        <v>19</v>
      </c>
      <c r="O46" s="19"/>
      <c r="P46" s="19">
        <v>103.056944</v>
      </c>
      <c r="Q46" s="19">
        <v>1.745833</v>
      </c>
      <c r="R46" s="19" t="s">
        <v>41</v>
      </c>
      <c r="S46" s="19" t="s">
        <v>2091</v>
      </c>
    </row>
    <row r="47" spans="1:19" hidden="1" x14ac:dyDescent="0.25">
      <c r="A47" s="28">
        <v>1730085</v>
      </c>
      <c r="B47" s="15" t="s">
        <v>2121</v>
      </c>
      <c r="C47" s="19" t="s">
        <v>12</v>
      </c>
      <c r="D47" s="21" t="s">
        <v>2011</v>
      </c>
      <c r="E47" s="19" t="s">
        <v>2082</v>
      </c>
      <c r="F47" s="19" t="s">
        <v>2116</v>
      </c>
      <c r="G47" s="19" t="s">
        <v>2117</v>
      </c>
      <c r="H47" s="19" t="s">
        <v>1641</v>
      </c>
      <c r="I47" s="19" t="s">
        <v>2122</v>
      </c>
      <c r="J47" s="19" t="s">
        <v>19</v>
      </c>
      <c r="K47" s="19" t="s">
        <v>19</v>
      </c>
      <c r="L47" s="19" t="s">
        <v>18</v>
      </c>
      <c r="M47" s="19" t="s">
        <v>19</v>
      </c>
      <c r="N47" s="19" t="s">
        <v>19</v>
      </c>
      <c r="O47" s="19"/>
      <c r="P47" s="19">
        <v>103.016667</v>
      </c>
      <c r="Q47" s="19">
        <v>1.788889</v>
      </c>
      <c r="R47" s="19" t="s">
        <v>20</v>
      </c>
      <c r="S47" s="19" t="s">
        <v>2123</v>
      </c>
    </row>
    <row r="48" spans="1:19" hidden="1" x14ac:dyDescent="0.25">
      <c r="A48" s="28">
        <v>1731001</v>
      </c>
      <c r="B48" s="15" t="s">
        <v>2124</v>
      </c>
      <c r="C48" s="19" t="s">
        <v>12</v>
      </c>
      <c r="D48" s="21" t="s">
        <v>2011</v>
      </c>
      <c r="E48" s="19" t="s">
        <v>2082</v>
      </c>
      <c r="F48" s="19" t="s">
        <v>2125</v>
      </c>
      <c r="G48" s="19" t="s">
        <v>2082</v>
      </c>
      <c r="H48" s="19" t="s">
        <v>326</v>
      </c>
      <c r="I48" s="19"/>
      <c r="J48" s="19" t="s">
        <v>18</v>
      </c>
      <c r="K48" s="19" t="s">
        <v>18</v>
      </c>
      <c r="L48" s="19" t="s">
        <v>18</v>
      </c>
      <c r="M48" s="19" t="s">
        <v>19</v>
      </c>
      <c r="N48" s="19" t="s">
        <v>18</v>
      </c>
      <c r="O48" s="19"/>
      <c r="P48" s="19">
        <v>103.108333</v>
      </c>
      <c r="Q48" s="19">
        <v>1.7375</v>
      </c>
      <c r="R48" s="19" t="s">
        <v>41</v>
      </c>
      <c r="S48" s="19" t="s">
        <v>1870</v>
      </c>
    </row>
    <row r="49" spans="1:19" hidden="1" x14ac:dyDescent="0.25">
      <c r="A49" s="28">
        <v>1731083</v>
      </c>
      <c r="B49" s="15" t="s">
        <v>2126</v>
      </c>
      <c r="C49" s="19" t="s">
        <v>12</v>
      </c>
      <c r="D49" s="21" t="s">
        <v>2011</v>
      </c>
      <c r="E49" s="19" t="s">
        <v>2082</v>
      </c>
      <c r="F49" s="19" t="s">
        <v>2087</v>
      </c>
      <c r="G49" s="19" t="s">
        <v>2082</v>
      </c>
      <c r="H49" s="19" t="s">
        <v>1843</v>
      </c>
      <c r="I49" s="19" t="s">
        <v>326</v>
      </c>
      <c r="J49" s="19" t="s">
        <v>19</v>
      </c>
      <c r="K49" s="19" t="s">
        <v>19</v>
      </c>
      <c r="L49" s="19" t="s">
        <v>18</v>
      </c>
      <c r="M49" s="19" t="s">
        <v>19</v>
      </c>
      <c r="N49" s="19" t="s">
        <v>19</v>
      </c>
      <c r="O49" s="19"/>
      <c r="P49" s="19">
        <v>103.12777800000001</v>
      </c>
      <c r="Q49" s="19">
        <v>1.7222219999999999</v>
      </c>
      <c r="R49" s="19" t="s">
        <v>41</v>
      </c>
      <c r="S49" s="19" t="s">
        <v>2091</v>
      </c>
    </row>
    <row r="50" spans="1:19" hidden="1" x14ac:dyDescent="0.25">
      <c r="A50" s="28">
        <v>1731094</v>
      </c>
      <c r="B50" s="15" t="s">
        <v>2127</v>
      </c>
      <c r="C50" s="19" t="s">
        <v>12</v>
      </c>
      <c r="D50" s="21" t="s">
        <v>2011</v>
      </c>
      <c r="E50" s="19" t="s">
        <v>2012</v>
      </c>
      <c r="F50" s="19" t="s">
        <v>2128</v>
      </c>
      <c r="G50" s="19" t="s">
        <v>2090</v>
      </c>
      <c r="H50" s="19" t="s">
        <v>1543</v>
      </c>
      <c r="I50" s="19" t="s">
        <v>2129</v>
      </c>
      <c r="J50" s="19" t="s">
        <v>19</v>
      </c>
      <c r="K50" s="19" t="s">
        <v>19</v>
      </c>
      <c r="L50" s="19" t="s">
        <v>18</v>
      </c>
      <c r="M50" s="19" t="s">
        <v>19</v>
      </c>
      <c r="N50" s="19" t="s">
        <v>19</v>
      </c>
      <c r="O50" s="19"/>
      <c r="P50" s="19">
        <v>103.1875</v>
      </c>
      <c r="Q50" s="19">
        <v>1.7319439999999999</v>
      </c>
      <c r="R50" s="19" t="s">
        <v>41</v>
      </c>
      <c r="S50" s="19" t="s">
        <v>1870</v>
      </c>
    </row>
    <row r="51" spans="1:19" hidden="1" x14ac:dyDescent="0.25">
      <c r="A51" s="28">
        <v>1732001</v>
      </c>
      <c r="B51" s="15" t="s">
        <v>2130</v>
      </c>
      <c r="C51" s="19" t="s">
        <v>12</v>
      </c>
      <c r="D51" s="21" t="s">
        <v>2011</v>
      </c>
      <c r="E51" s="19" t="s">
        <v>2012</v>
      </c>
      <c r="F51" s="19" t="s">
        <v>2131</v>
      </c>
      <c r="G51" s="19" t="s">
        <v>2090</v>
      </c>
      <c r="H51" s="19" t="s">
        <v>2132</v>
      </c>
      <c r="I51" s="19"/>
      <c r="J51" s="19" t="s">
        <v>18</v>
      </c>
      <c r="K51" s="19" t="s">
        <v>18</v>
      </c>
      <c r="L51" s="19" t="s">
        <v>19</v>
      </c>
      <c r="M51" s="19" t="s">
        <v>19</v>
      </c>
      <c r="N51" s="19" t="s">
        <v>18</v>
      </c>
      <c r="O51" s="19"/>
      <c r="P51" s="19">
        <v>103.279167</v>
      </c>
      <c r="Q51" s="19">
        <v>1.713889</v>
      </c>
      <c r="R51" s="19" t="s">
        <v>41</v>
      </c>
      <c r="S51" s="19" t="s">
        <v>1870</v>
      </c>
    </row>
    <row r="52" spans="1:19" hidden="1" x14ac:dyDescent="0.25">
      <c r="A52" s="28">
        <v>1732002</v>
      </c>
      <c r="B52" s="15" t="s">
        <v>2133</v>
      </c>
      <c r="C52" s="19" t="s">
        <v>12</v>
      </c>
      <c r="D52" s="21" t="s">
        <v>2011</v>
      </c>
      <c r="E52" s="19" t="s">
        <v>2012</v>
      </c>
      <c r="F52" s="19" t="s">
        <v>2128</v>
      </c>
      <c r="G52" s="19" t="s">
        <v>2090</v>
      </c>
      <c r="H52" s="19" t="s">
        <v>2132</v>
      </c>
      <c r="I52" s="19" t="s">
        <v>2134</v>
      </c>
      <c r="J52" s="19" t="s">
        <v>19</v>
      </c>
      <c r="K52" s="19" t="s">
        <v>19</v>
      </c>
      <c r="L52" s="19" t="s">
        <v>19</v>
      </c>
      <c r="M52" s="19" t="s">
        <v>19</v>
      </c>
      <c r="N52" s="19" t="s">
        <v>18</v>
      </c>
      <c r="O52" s="19"/>
      <c r="P52" s="19">
        <v>103.288889</v>
      </c>
      <c r="Q52" s="19">
        <v>1.711111</v>
      </c>
      <c r="R52" s="19" t="s">
        <v>41</v>
      </c>
      <c r="S52" s="19" t="s">
        <v>1870</v>
      </c>
    </row>
    <row r="53" spans="1:19" hidden="1" x14ac:dyDescent="0.25">
      <c r="A53" s="28">
        <v>1732003</v>
      </c>
      <c r="B53" s="15" t="s">
        <v>2135</v>
      </c>
      <c r="C53" s="19" t="s">
        <v>12</v>
      </c>
      <c r="D53" s="21" t="s">
        <v>2011</v>
      </c>
      <c r="E53" s="19" t="s">
        <v>2012</v>
      </c>
      <c r="F53" s="19" t="s">
        <v>2128</v>
      </c>
      <c r="G53" s="19" t="s">
        <v>2090</v>
      </c>
      <c r="H53" s="19" t="s">
        <v>2132</v>
      </c>
      <c r="I53" s="19" t="s">
        <v>2134</v>
      </c>
      <c r="J53" s="19" t="s">
        <v>19</v>
      </c>
      <c r="K53" s="19" t="s">
        <v>19</v>
      </c>
      <c r="L53" s="19" t="s">
        <v>18</v>
      </c>
      <c r="M53" s="19" t="s">
        <v>19</v>
      </c>
      <c r="N53" s="19" t="s">
        <v>19</v>
      </c>
      <c r="O53" s="19"/>
      <c r="P53" s="19">
        <v>103.281944</v>
      </c>
      <c r="Q53" s="19">
        <v>1.706944</v>
      </c>
      <c r="R53" s="19" t="s">
        <v>41</v>
      </c>
      <c r="S53" s="19" t="s">
        <v>1870</v>
      </c>
    </row>
    <row r="54" spans="1:19" hidden="1" x14ac:dyDescent="0.25">
      <c r="A54" s="28">
        <v>1732004</v>
      </c>
      <c r="B54" s="15" t="s">
        <v>2136</v>
      </c>
      <c r="C54" s="19" t="s">
        <v>12</v>
      </c>
      <c r="D54" s="21" t="s">
        <v>2011</v>
      </c>
      <c r="E54" s="19" t="s">
        <v>2012</v>
      </c>
      <c r="F54" s="19" t="s">
        <v>2131</v>
      </c>
      <c r="G54" s="19" t="s">
        <v>2090</v>
      </c>
      <c r="H54" s="19" t="s">
        <v>2132</v>
      </c>
      <c r="I54" s="19"/>
      <c r="J54" s="19" t="s">
        <v>18</v>
      </c>
      <c r="K54" s="19" t="s">
        <v>18</v>
      </c>
      <c r="L54" s="19" t="s">
        <v>19</v>
      </c>
      <c r="M54" s="19" t="s">
        <v>19</v>
      </c>
      <c r="N54" s="19" t="s">
        <v>18</v>
      </c>
      <c r="O54" s="19"/>
      <c r="P54" s="19">
        <v>103.273611</v>
      </c>
      <c r="Q54" s="19">
        <v>1.7083330000000001</v>
      </c>
      <c r="R54" s="19" t="s">
        <v>41</v>
      </c>
      <c r="S54" s="19" t="s">
        <v>1870</v>
      </c>
    </row>
    <row r="55" spans="1:19" hidden="1" x14ac:dyDescent="0.25">
      <c r="A55" s="28">
        <v>1734001</v>
      </c>
      <c r="B55" s="15" t="s">
        <v>2137</v>
      </c>
      <c r="C55" s="19" t="s">
        <v>12</v>
      </c>
      <c r="D55" s="21" t="s">
        <v>2011</v>
      </c>
      <c r="E55" s="19" t="s">
        <v>2017</v>
      </c>
      <c r="F55" s="19" t="s">
        <v>2038</v>
      </c>
      <c r="G55" s="19" t="s">
        <v>2039</v>
      </c>
      <c r="H55" s="19" t="s">
        <v>1076</v>
      </c>
      <c r="I55" s="19"/>
      <c r="J55" s="19" t="s">
        <v>18</v>
      </c>
      <c r="K55" s="19" t="s">
        <v>18</v>
      </c>
      <c r="L55" s="19" t="s">
        <v>18</v>
      </c>
      <c r="M55" s="19" t="s">
        <v>19</v>
      </c>
      <c r="N55" s="19" t="s">
        <v>19</v>
      </c>
      <c r="O55" s="19"/>
      <c r="P55" s="19">
        <v>103.443056</v>
      </c>
      <c r="Q55" s="19">
        <v>1.727778</v>
      </c>
      <c r="R55" s="19" t="s">
        <v>164</v>
      </c>
      <c r="S55" s="19" t="s">
        <v>1870</v>
      </c>
    </row>
    <row r="56" spans="1:19" hidden="1" x14ac:dyDescent="0.25">
      <c r="A56" s="28">
        <v>1735125</v>
      </c>
      <c r="B56" s="15" t="s">
        <v>2138</v>
      </c>
      <c r="C56" s="19" t="s">
        <v>12</v>
      </c>
      <c r="D56" s="21" t="s">
        <v>2011</v>
      </c>
      <c r="E56" s="19" t="s">
        <v>2017</v>
      </c>
      <c r="F56" s="19" t="s">
        <v>2047</v>
      </c>
      <c r="G56" s="19" t="s">
        <v>2047</v>
      </c>
      <c r="H56" s="19" t="s">
        <v>943</v>
      </c>
      <c r="I56" s="19"/>
      <c r="J56" s="19" t="s">
        <v>18</v>
      </c>
      <c r="K56" s="19" t="s">
        <v>18</v>
      </c>
      <c r="L56" s="19" t="s">
        <v>18</v>
      </c>
      <c r="M56" s="19" t="s">
        <v>19</v>
      </c>
      <c r="N56" s="19" t="s">
        <v>19</v>
      </c>
      <c r="O56" s="19"/>
      <c r="P56" s="19">
        <v>103.527778</v>
      </c>
      <c r="Q56" s="19">
        <v>1.713889</v>
      </c>
      <c r="R56" s="19" t="s">
        <v>20</v>
      </c>
      <c r="S56" s="19" t="s">
        <v>1870</v>
      </c>
    </row>
    <row r="57" spans="1:19" hidden="1" x14ac:dyDescent="0.25">
      <c r="A57" s="28">
        <v>1735142</v>
      </c>
      <c r="B57" s="15" t="s">
        <v>2139</v>
      </c>
      <c r="C57" s="19" t="s">
        <v>12</v>
      </c>
      <c r="D57" s="21" t="s">
        <v>2011</v>
      </c>
      <c r="E57" s="19" t="s">
        <v>2140</v>
      </c>
      <c r="F57" s="19" t="s">
        <v>2141</v>
      </c>
      <c r="G57" s="19" t="s">
        <v>2011</v>
      </c>
      <c r="H57" s="19" t="s">
        <v>558</v>
      </c>
      <c r="I57" s="19" t="s">
        <v>431</v>
      </c>
      <c r="J57" s="19" t="s">
        <v>19</v>
      </c>
      <c r="K57" s="19" t="s">
        <v>19</v>
      </c>
      <c r="L57" s="19" t="s">
        <v>18</v>
      </c>
      <c r="M57" s="19" t="s">
        <v>19</v>
      </c>
      <c r="N57" s="19" t="s">
        <v>19</v>
      </c>
      <c r="O57" s="19"/>
      <c r="P57" s="19">
        <v>103.51944399999999</v>
      </c>
      <c r="Q57" s="19">
        <v>1.769444</v>
      </c>
      <c r="R57" s="19" t="s">
        <v>421</v>
      </c>
      <c r="S57" s="19" t="s">
        <v>1870</v>
      </c>
    </row>
    <row r="58" spans="1:19" hidden="1" x14ac:dyDescent="0.25">
      <c r="A58" s="28">
        <v>1736126</v>
      </c>
      <c r="B58" s="15" t="s">
        <v>2142</v>
      </c>
      <c r="C58" s="19" t="s">
        <v>12</v>
      </c>
      <c r="D58" s="21" t="s">
        <v>2011</v>
      </c>
      <c r="E58" s="19" t="s">
        <v>2028</v>
      </c>
      <c r="F58" s="19" t="s">
        <v>2141</v>
      </c>
      <c r="G58" s="19" t="s">
        <v>2011</v>
      </c>
      <c r="H58" s="19" t="s">
        <v>2143</v>
      </c>
      <c r="I58" s="19" t="s">
        <v>1431</v>
      </c>
      <c r="J58" s="19" t="s">
        <v>19</v>
      </c>
      <c r="K58" s="19" t="s">
        <v>19</v>
      </c>
      <c r="L58" s="19" t="s">
        <v>18</v>
      </c>
      <c r="M58" s="19" t="s">
        <v>19</v>
      </c>
      <c r="N58" s="19" t="s">
        <v>19</v>
      </c>
      <c r="O58" s="19"/>
      <c r="P58" s="19">
        <v>103.6</v>
      </c>
      <c r="Q58" s="19">
        <v>1.7625</v>
      </c>
      <c r="R58" s="19" t="s">
        <v>41</v>
      </c>
      <c r="S58" s="19" t="s">
        <v>2144</v>
      </c>
    </row>
    <row r="59" spans="1:19" hidden="1" x14ac:dyDescent="0.25">
      <c r="A59" s="28">
        <v>1737001</v>
      </c>
      <c r="B59" s="15" t="s">
        <v>2145</v>
      </c>
      <c r="C59" s="19" t="s">
        <v>12</v>
      </c>
      <c r="D59" s="21" t="s">
        <v>2011</v>
      </c>
      <c r="E59" s="19" t="s">
        <v>2028</v>
      </c>
      <c r="F59" s="19" t="s">
        <v>2146</v>
      </c>
      <c r="G59" s="19" t="s">
        <v>2011</v>
      </c>
      <c r="H59" s="19" t="s">
        <v>769</v>
      </c>
      <c r="I59" s="19"/>
      <c r="J59" s="19" t="s">
        <v>18</v>
      </c>
      <c r="K59" s="19" t="s">
        <v>18</v>
      </c>
      <c r="L59" s="19" t="s">
        <v>19</v>
      </c>
      <c r="M59" s="19" t="s">
        <v>19</v>
      </c>
      <c r="N59" s="19" t="s">
        <v>18</v>
      </c>
      <c r="O59" s="19"/>
      <c r="P59" s="19">
        <v>103.719444</v>
      </c>
      <c r="Q59" s="19">
        <v>1.763889</v>
      </c>
      <c r="R59" s="19" t="s">
        <v>41</v>
      </c>
      <c r="S59" s="19" t="s">
        <v>2110</v>
      </c>
    </row>
    <row r="60" spans="1:19" hidden="1" x14ac:dyDescent="0.25">
      <c r="A60" s="28">
        <v>1737127</v>
      </c>
      <c r="B60" s="15" t="s">
        <v>2147</v>
      </c>
      <c r="C60" s="19" t="s">
        <v>12</v>
      </c>
      <c r="D60" s="21" t="s">
        <v>2011</v>
      </c>
      <c r="E60" s="19" t="s">
        <v>2028</v>
      </c>
      <c r="F60" s="19" t="s">
        <v>2148</v>
      </c>
      <c r="G60" s="19" t="s">
        <v>2011</v>
      </c>
      <c r="H60" s="19" t="s">
        <v>336</v>
      </c>
      <c r="I60" s="19" t="s">
        <v>769</v>
      </c>
      <c r="J60" s="19" t="s">
        <v>19</v>
      </c>
      <c r="K60" s="19" t="s">
        <v>19</v>
      </c>
      <c r="L60" s="19" t="s">
        <v>19</v>
      </c>
      <c r="M60" s="19" t="s">
        <v>19</v>
      </c>
      <c r="N60" s="19" t="s">
        <v>18</v>
      </c>
      <c r="O60" s="19"/>
      <c r="P60" s="19">
        <v>103.704167</v>
      </c>
      <c r="Q60" s="19">
        <v>1.7708330000000001</v>
      </c>
      <c r="R60" s="19" t="s">
        <v>41</v>
      </c>
      <c r="S60" s="19" t="s">
        <v>2110</v>
      </c>
    </row>
    <row r="61" spans="1:19" hidden="1" x14ac:dyDescent="0.25">
      <c r="A61" s="28">
        <v>1737128</v>
      </c>
      <c r="B61" s="15" t="s">
        <v>2149</v>
      </c>
      <c r="C61" s="19" t="s">
        <v>12</v>
      </c>
      <c r="D61" s="21" t="s">
        <v>2011</v>
      </c>
      <c r="E61" s="19" t="s">
        <v>2028</v>
      </c>
      <c r="F61" s="19" t="s">
        <v>2146</v>
      </c>
      <c r="G61" s="19" t="s">
        <v>2011</v>
      </c>
      <c r="H61" s="19" t="s">
        <v>2143</v>
      </c>
      <c r="I61" s="19" t="s">
        <v>326</v>
      </c>
      <c r="J61" s="19" t="s">
        <v>19</v>
      </c>
      <c r="K61" s="19" t="s">
        <v>19</v>
      </c>
      <c r="L61" s="19" t="s">
        <v>18</v>
      </c>
      <c r="M61" s="19" t="s">
        <v>19</v>
      </c>
      <c r="N61" s="19" t="s">
        <v>19</v>
      </c>
      <c r="O61" s="19"/>
      <c r="P61" s="19">
        <v>103.744444</v>
      </c>
      <c r="Q61" s="19">
        <v>1.781944</v>
      </c>
      <c r="R61" s="19" t="s">
        <v>41</v>
      </c>
      <c r="S61" s="19" t="s">
        <v>2150</v>
      </c>
    </row>
    <row r="62" spans="1:19" hidden="1" x14ac:dyDescent="0.25">
      <c r="A62" s="28">
        <v>1738129</v>
      </c>
      <c r="B62" s="15" t="s">
        <v>2151</v>
      </c>
      <c r="C62" s="19" t="s">
        <v>12</v>
      </c>
      <c r="D62" s="21" t="s">
        <v>2011</v>
      </c>
      <c r="E62" s="19" t="s">
        <v>2028</v>
      </c>
      <c r="F62" s="19" t="s">
        <v>2146</v>
      </c>
      <c r="G62" s="19" t="s">
        <v>2011</v>
      </c>
      <c r="H62" s="19" t="s">
        <v>1685</v>
      </c>
      <c r="I62" s="19" t="s">
        <v>833</v>
      </c>
      <c r="J62" s="19" t="s">
        <v>19</v>
      </c>
      <c r="K62" s="19" t="s">
        <v>19</v>
      </c>
      <c r="L62" s="19" t="s">
        <v>18</v>
      </c>
      <c r="M62" s="19" t="s">
        <v>19</v>
      </c>
      <c r="N62" s="19" t="s">
        <v>19</v>
      </c>
      <c r="O62" s="19"/>
      <c r="P62" s="19">
        <v>103.893056</v>
      </c>
      <c r="Q62" s="19">
        <v>1.7513890000000001</v>
      </c>
      <c r="R62" s="19" t="s">
        <v>164</v>
      </c>
      <c r="S62" s="19" t="s">
        <v>1870</v>
      </c>
    </row>
    <row r="63" spans="1:19" hidden="1" x14ac:dyDescent="0.25">
      <c r="A63" s="28">
        <v>1738131</v>
      </c>
      <c r="B63" s="15" t="s">
        <v>2152</v>
      </c>
      <c r="C63" s="19" t="s">
        <v>12</v>
      </c>
      <c r="D63" s="21" t="s">
        <v>2011</v>
      </c>
      <c r="E63" s="19" t="s">
        <v>2028</v>
      </c>
      <c r="F63" s="19" t="s">
        <v>2146</v>
      </c>
      <c r="G63" s="19" t="s">
        <v>2011</v>
      </c>
      <c r="H63" s="19" t="s">
        <v>2153</v>
      </c>
      <c r="I63" s="19"/>
      <c r="J63" s="19" t="s">
        <v>19</v>
      </c>
      <c r="K63" s="19" t="s">
        <v>19</v>
      </c>
      <c r="L63" s="19" t="s">
        <v>18</v>
      </c>
      <c r="M63" s="19" t="s">
        <v>19</v>
      </c>
      <c r="N63" s="19" t="s">
        <v>19</v>
      </c>
      <c r="O63" s="19"/>
      <c r="P63" s="19">
        <v>103.886111</v>
      </c>
      <c r="Q63" s="19">
        <v>1.7027779999999999</v>
      </c>
      <c r="R63" s="19" t="s">
        <v>20</v>
      </c>
      <c r="S63" s="19" t="s">
        <v>1870</v>
      </c>
    </row>
    <row r="64" spans="1:19" hidden="1" x14ac:dyDescent="0.25">
      <c r="A64" s="28">
        <v>1739001</v>
      </c>
      <c r="B64" s="15" t="s">
        <v>2656</v>
      </c>
      <c r="C64" s="19" t="s">
        <v>12</v>
      </c>
      <c r="D64" s="21" t="s">
        <v>2011</v>
      </c>
      <c r="E64" s="19" t="s">
        <v>2028</v>
      </c>
      <c r="F64" s="19" t="s">
        <v>2154</v>
      </c>
      <c r="G64" s="19" t="s">
        <v>2011</v>
      </c>
      <c r="H64" s="19" t="s">
        <v>2155</v>
      </c>
      <c r="I64" s="19" t="s">
        <v>137</v>
      </c>
      <c r="J64" s="19" t="s">
        <v>19</v>
      </c>
      <c r="K64" s="19" t="s">
        <v>19</v>
      </c>
      <c r="L64" s="19" t="s">
        <v>18</v>
      </c>
      <c r="M64" s="19" t="s">
        <v>19</v>
      </c>
      <c r="N64" s="19" t="s">
        <v>19</v>
      </c>
      <c r="O64" s="19"/>
      <c r="P64" s="19">
        <v>103.92361099999999</v>
      </c>
      <c r="Q64" s="19">
        <v>1.7486109999999999</v>
      </c>
      <c r="R64" s="19" t="s">
        <v>41</v>
      </c>
      <c r="S64" s="19" t="s">
        <v>1870</v>
      </c>
    </row>
    <row r="65" spans="1:19" hidden="1" x14ac:dyDescent="0.25">
      <c r="A65" s="28">
        <v>1739003</v>
      </c>
      <c r="B65" s="15" t="s">
        <v>2156</v>
      </c>
      <c r="C65" s="19" t="s">
        <v>12</v>
      </c>
      <c r="D65" s="21" t="s">
        <v>2011</v>
      </c>
      <c r="E65" s="19" t="s">
        <v>2028</v>
      </c>
      <c r="F65" s="19" t="s">
        <v>2157</v>
      </c>
      <c r="G65" s="19" t="s">
        <v>2011</v>
      </c>
      <c r="H65" s="19" t="s">
        <v>1673</v>
      </c>
      <c r="I65" s="19"/>
      <c r="J65" s="19" t="s">
        <v>18</v>
      </c>
      <c r="K65" s="19" t="s">
        <v>18</v>
      </c>
      <c r="L65" s="19" t="s">
        <v>18</v>
      </c>
      <c r="M65" s="19" t="s">
        <v>19</v>
      </c>
      <c r="N65" s="19" t="s">
        <v>18</v>
      </c>
      <c r="O65" s="19"/>
      <c r="P65" s="19">
        <v>103.926389</v>
      </c>
      <c r="Q65" s="19">
        <v>1.776389</v>
      </c>
      <c r="R65" s="19" t="s">
        <v>20</v>
      </c>
      <c r="S65" s="19" t="s">
        <v>1870</v>
      </c>
    </row>
    <row r="66" spans="1:19" hidden="1" x14ac:dyDescent="0.25">
      <c r="A66" s="28">
        <v>1739130</v>
      </c>
      <c r="B66" s="15" t="s">
        <v>2158</v>
      </c>
      <c r="C66" s="19" t="s">
        <v>12</v>
      </c>
      <c r="D66" s="21" t="s">
        <v>2011</v>
      </c>
      <c r="E66" s="19" t="s">
        <v>2028</v>
      </c>
      <c r="F66" s="19" t="s">
        <v>2157</v>
      </c>
      <c r="G66" s="19" t="s">
        <v>2011</v>
      </c>
      <c r="H66" s="19" t="s">
        <v>750</v>
      </c>
      <c r="I66" s="19" t="s">
        <v>1673</v>
      </c>
      <c r="J66" s="19" t="s">
        <v>19</v>
      </c>
      <c r="K66" s="19" t="s">
        <v>19</v>
      </c>
      <c r="L66" s="19" t="s">
        <v>18</v>
      </c>
      <c r="M66" s="19" t="s">
        <v>19</v>
      </c>
      <c r="N66" s="19" t="s">
        <v>19</v>
      </c>
      <c r="O66" s="19"/>
      <c r="P66" s="19">
        <v>103.92361099999999</v>
      </c>
      <c r="Q66" s="19">
        <v>1.7791669999999999</v>
      </c>
      <c r="R66" s="19" t="s">
        <v>20</v>
      </c>
      <c r="S66" s="19" t="s">
        <v>1870</v>
      </c>
    </row>
    <row r="67" spans="1:19" hidden="1" x14ac:dyDescent="0.25">
      <c r="A67" s="28">
        <v>1739195</v>
      </c>
      <c r="B67" s="15" t="s">
        <v>2159</v>
      </c>
      <c r="C67" s="19" t="s">
        <v>12</v>
      </c>
      <c r="D67" s="21" t="s">
        <v>2011</v>
      </c>
      <c r="E67" s="19" t="s">
        <v>2028</v>
      </c>
      <c r="F67" s="19" t="s">
        <v>2157</v>
      </c>
      <c r="G67" s="19" t="s">
        <v>2011</v>
      </c>
      <c r="H67" s="19" t="s">
        <v>2075</v>
      </c>
      <c r="I67" s="19" t="s">
        <v>963</v>
      </c>
      <c r="J67" s="19" t="s">
        <v>19</v>
      </c>
      <c r="K67" s="19" t="s">
        <v>19</v>
      </c>
      <c r="L67" s="19" t="s">
        <v>18</v>
      </c>
      <c r="M67" s="19" t="s">
        <v>19</v>
      </c>
      <c r="N67" s="19" t="s">
        <v>19</v>
      </c>
      <c r="O67" s="19"/>
      <c r="P67" s="19">
        <v>103.984722</v>
      </c>
      <c r="Q67" s="19">
        <v>1.7749999999999999</v>
      </c>
      <c r="R67" s="19" t="s">
        <v>41</v>
      </c>
      <c r="S67" s="19" t="s">
        <v>1870</v>
      </c>
    </row>
    <row r="68" spans="1:19" hidden="1" x14ac:dyDescent="0.25">
      <c r="A68" s="28">
        <v>1740001</v>
      </c>
      <c r="B68" s="15" t="s">
        <v>2657</v>
      </c>
      <c r="C68" s="19" t="s">
        <v>12</v>
      </c>
      <c r="D68" s="21" t="s">
        <v>2011</v>
      </c>
      <c r="E68" s="19" t="s">
        <v>2028</v>
      </c>
      <c r="F68" s="19" t="s">
        <v>2160</v>
      </c>
      <c r="G68" s="19" t="s">
        <v>2011</v>
      </c>
      <c r="H68" s="19" t="s">
        <v>2161</v>
      </c>
      <c r="I68" s="19"/>
      <c r="J68" s="19" t="s">
        <v>18</v>
      </c>
      <c r="K68" s="19" t="s">
        <v>18</v>
      </c>
      <c r="L68" s="19" t="s">
        <v>18</v>
      </c>
      <c r="M68" s="19" t="s">
        <v>19</v>
      </c>
      <c r="N68" s="19" t="s">
        <v>19</v>
      </c>
      <c r="O68" s="19"/>
      <c r="P68" s="19">
        <v>104.030556</v>
      </c>
      <c r="Q68" s="19">
        <v>1.769444</v>
      </c>
      <c r="R68" s="19" t="s">
        <v>421</v>
      </c>
      <c r="S68" s="19" t="s">
        <v>1870</v>
      </c>
    </row>
    <row r="69" spans="1:19" hidden="1" x14ac:dyDescent="0.25">
      <c r="A69" s="28">
        <v>1829001</v>
      </c>
      <c r="B69" s="15" t="s">
        <v>2162</v>
      </c>
      <c r="C69" s="19" t="s">
        <v>12</v>
      </c>
      <c r="D69" s="21" t="s">
        <v>2011</v>
      </c>
      <c r="E69" s="19" t="s">
        <v>2082</v>
      </c>
      <c r="F69" s="19" t="s">
        <v>2163</v>
      </c>
      <c r="G69" s="19" t="s">
        <v>2082</v>
      </c>
      <c r="H69" s="19" t="s">
        <v>959</v>
      </c>
      <c r="I69" s="19"/>
      <c r="J69" s="19" t="s">
        <v>18</v>
      </c>
      <c r="K69" s="19" t="s">
        <v>18</v>
      </c>
      <c r="L69" s="19" t="s">
        <v>18</v>
      </c>
      <c r="M69" s="19" t="s">
        <v>19</v>
      </c>
      <c r="N69" s="19" t="s">
        <v>18</v>
      </c>
      <c r="O69" s="19"/>
      <c r="P69" s="19">
        <v>102.981944</v>
      </c>
      <c r="Q69" s="19">
        <v>1.8666670000000001</v>
      </c>
      <c r="R69" s="19" t="s">
        <v>472</v>
      </c>
      <c r="S69" s="19" t="s">
        <v>1870</v>
      </c>
    </row>
    <row r="70" spans="1:19" hidden="1" x14ac:dyDescent="0.25">
      <c r="A70" s="28">
        <v>1829002</v>
      </c>
      <c r="B70" s="15" t="s">
        <v>2164</v>
      </c>
      <c r="C70" s="19" t="s">
        <v>12</v>
      </c>
      <c r="D70" s="21" t="s">
        <v>2011</v>
      </c>
      <c r="E70" s="19" t="s">
        <v>2082</v>
      </c>
      <c r="F70" s="19" t="s">
        <v>2163</v>
      </c>
      <c r="G70" s="19" t="s">
        <v>2082</v>
      </c>
      <c r="H70" s="19" t="s">
        <v>1268</v>
      </c>
      <c r="I70" s="19" t="s">
        <v>2165</v>
      </c>
      <c r="J70" s="19" t="s">
        <v>19</v>
      </c>
      <c r="K70" s="19" t="s">
        <v>19</v>
      </c>
      <c r="L70" s="19" t="s">
        <v>18</v>
      </c>
      <c r="M70" s="19" t="s">
        <v>19</v>
      </c>
      <c r="N70" s="19" t="s">
        <v>19</v>
      </c>
      <c r="O70" s="19"/>
      <c r="P70" s="19">
        <v>102.925</v>
      </c>
      <c r="Q70" s="19">
        <v>1.8402780000000001</v>
      </c>
      <c r="R70" s="19" t="s">
        <v>41</v>
      </c>
      <c r="S70" s="19" t="s">
        <v>1870</v>
      </c>
    </row>
    <row r="71" spans="1:19" hidden="1" x14ac:dyDescent="0.25">
      <c r="A71" s="28">
        <v>1829002</v>
      </c>
      <c r="B71" s="15" t="s">
        <v>2166</v>
      </c>
      <c r="C71" s="19" t="s">
        <v>12</v>
      </c>
      <c r="D71" s="21" t="s">
        <v>2011</v>
      </c>
      <c r="E71" s="19" t="s">
        <v>2082</v>
      </c>
      <c r="F71" s="19" t="s">
        <v>2163</v>
      </c>
      <c r="G71" s="19" t="s">
        <v>2082</v>
      </c>
      <c r="H71" s="19"/>
      <c r="I71" s="19"/>
      <c r="J71" s="19" t="s">
        <v>19</v>
      </c>
      <c r="K71" s="19" t="s">
        <v>18</v>
      </c>
      <c r="L71" s="19" t="s">
        <v>19</v>
      </c>
      <c r="M71" s="19" t="s">
        <v>18</v>
      </c>
      <c r="N71" s="19" t="s">
        <v>19</v>
      </c>
      <c r="O71" s="19"/>
      <c r="P71" s="19">
        <v>102.919</v>
      </c>
      <c r="Q71" s="19">
        <v>1.8399000000000001</v>
      </c>
      <c r="R71" s="19"/>
      <c r="S71" s="19" t="s">
        <v>1870</v>
      </c>
    </row>
    <row r="72" spans="1:19" hidden="1" x14ac:dyDescent="0.25">
      <c r="A72" s="28">
        <v>1829077</v>
      </c>
      <c r="B72" s="15" t="s">
        <v>2167</v>
      </c>
      <c r="C72" s="19" t="s">
        <v>12</v>
      </c>
      <c r="D72" s="21" t="s">
        <v>2011</v>
      </c>
      <c r="E72" s="19" t="s">
        <v>2082</v>
      </c>
      <c r="F72" s="19" t="s">
        <v>2163</v>
      </c>
      <c r="G72" s="19" t="s">
        <v>2082</v>
      </c>
      <c r="H72" s="19" t="s">
        <v>301</v>
      </c>
      <c r="I72" s="19" t="s">
        <v>959</v>
      </c>
      <c r="J72" s="19" t="s">
        <v>19</v>
      </c>
      <c r="K72" s="19" t="s">
        <v>19</v>
      </c>
      <c r="L72" s="19" t="s">
        <v>18</v>
      </c>
      <c r="M72" s="19" t="s">
        <v>19</v>
      </c>
      <c r="N72" s="19" t="s">
        <v>19</v>
      </c>
      <c r="O72" s="19"/>
      <c r="P72" s="19">
        <v>102.97499999999999</v>
      </c>
      <c r="Q72" s="19">
        <v>1.855556</v>
      </c>
      <c r="R72" s="19" t="s">
        <v>164</v>
      </c>
      <c r="S72" s="19" t="s">
        <v>1870</v>
      </c>
    </row>
    <row r="73" spans="1:19" hidden="1" x14ac:dyDescent="0.25">
      <c r="A73" s="28">
        <v>1829078</v>
      </c>
      <c r="B73" s="15" t="s">
        <v>2168</v>
      </c>
      <c r="C73" s="19" t="s">
        <v>12</v>
      </c>
      <c r="D73" s="21" t="s">
        <v>2011</v>
      </c>
      <c r="E73" s="19" t="s">
        <v>2082</v>
      </c>
      <c r="F73" s="19" t="s">
        <v>2163</v>
      </c>
      <c r="G73" s="19" t="s">
        <v>2082</v>
      </c>
      <c r="H73" s="19" t="s">
        <v>301</v>
      </c>
      <c r="I73" s="19" t="s">
        <v>1268</v>
      </c>
      <c r="J73" s="19" t="s">
        <v>19</v>
      </c>
      <c r="K73" s="19" t="s">
        <v>19</v>
      </c>
      <c r="L73" s="19" t="s">
        <v>18</v>
      </c>
      <c r="M73" s="19" t="s">
        <v>19</v>
      </c>
      <c r="N73" s="19" t="s">
        <v>19</v>
      </c>
      <c r="O73" s="19"/>
      <c r="P73" s="19">
        <v>102.926389</v>
      </c>
      <c r="Q73" s="19">
        <v>1.852778</v>
      </c>
      <c r="R73" s="19" t="s">
        <v>41</v>
      </c>
      <c r="S73" s="19" t="s">
        <v>2169</v>
      </c>
    </row>
    <row r="74" spans="1:19" hidden="1" x14ac:dyDescent="0.25">
      <c r="A74" s="28">
        <v>1829078</v>
      </c>
      <c r="B74" s="15" t="s">
        <v>2082</v>
      </c>
      <c r="C74" s="19" t="s">
        <v>12</v>
      </c>
      <c r="D74" s="21" t="s">
        <v>2011</v>
      </c>
      <c r="E74" s="19" t="s">
        <v>2082</v>
      </c>
      <c r="F74" s="19" t="s">
        <v>2163</v>
      </c>
      <c r="G74" s="19" t="s">
        <v>2170</v>
      </c>
      <c r="H74" s="19"/>
      <c r="I74" s="19"/>
      <c r="J74" s="19" t="s">
        <v>19</v>
      </c>
      <c r="K74" s="19" t="s">
        <v>18</v>
      </c>
      <c r="L74" s="19" t="s">
        <v>19</v>
      </c>
      <c r="M74" s="19" t="s">
        <v>18</v>
      </c>
      <c r="N74" s="19" t="s">
        <v>19</v>
      </c>
      <c r="O74" s="19"/>
      <c r="P74" s="19">
        <v>102.926389</v>
      </c>
      <c r="Q74" s="19">
        <v>1.852778</v>
      </c>
      <c r="R74" s="19"/>
      <c r="S74" s="19" t="s">
        <v>1870</v>
      </c>
    </row>
    <row r="75" spans="1:19" hidden="1" x14ac:dyDescent="0.25">
      <c r="A75" s="28">
        <v>1829079</v>
      </c>
      <c r="B75" s="15" t="s">
        <v>2171</v>
      </c>
      <c r="C75" s="19" t="s">
        <v>12</v>
      </c>
      <c r="D75" s="21" t="s">
        <v>2011</v>
      </c>
      <c r="E75" s="19" t="s">
        <v>2082</v>
      </c>
      <c r="F75" s="19" t="s">
        <v>2172</v>
      </c>
      <c r="G75" s="19" t="s">
        <v>2082</v>
      </c>
      <c r="H75" s="19" t="s">
        <v>1670</v>
      </c>
      <c r="I75" s="19" t="s">
        <v>498</v>
      </c>
      <c r="J75" s="19" t="s">
        <v>19</v>
      </c>
      <c r="K75" s="19" t="s">
        <v>19</v>
      </c>
      <c r="L75" s="19" t="s">
        <v>18</v>
      </c>
      <c r="M75" s="19" t="s">
        <v>19</v>
      </c>
      <c r="N75" s="19" t="s">
        <v>19</v>
      </c>
      <c r="O75" s="19"/>
      <c r="P75" s="19">
        <v>102.944444</v>
      </c>
      <c r="Q75" s="19">
        <v>1.8333330000000001</v>
      </c>
      <c r="R75" s="19" t="s">
        <v>164</v>
      </c>
      <c r="S75" s="19" t="s">
        <v>1870</v>
      </c>
    </row>
    <row r="76" spans="1:19" hidden="1" x14ac:dyDescent="0.25">
      <c r="A76" s="28">
        <v>1829080</v>
      </c>
      <c r="B76" s="15" t="s">
        <v>2173</v>
      </c>
      <c r="C76" s="19" t="s">
        <v>12</v>
      </c>
      <c r="D76" s="21" t="s">
        <v>2011</v>
      </c>
      <c r="E76" s="19" t="s">
        <v>2082</v>
      </c>
      <c r="F76" s="19" t="s">
        <v>2172</v>
      </c>
      <c r="G76" s="19" t="s">
        <v>2082</v>
      </c>
      <c r="H76" s="19" t="s">
        <v>1641</v>
      </c>
      <c r="I76" s="19" t="s">
        <v>2174</v>
      </c>
      <c r="J76" s="19" t="s">
        <v>19</v>
      </c>
      <c r="K76" s="19" t="s">
        <v>19</v>
      </c>
      <c r="L76" s="19" t="s">
        <v>18</v>
      </c>
      <c r="M76" s="19" t="s">
        <v>19</v>
      </c>
      <c r="N76" s="19" t="s">
        <v>19</v>
      </c>
      <c r="O76" s="19"/>
      <c r="P76" s="19">
        <v>102.961111</v>
      </c>
      <c r="Q76" s="19">
        <v>1.8097220000000001</v>
      </c>
      <c r="R76" s="19" t="s">
        <v>20</v>
      </c>
      <c r="S76" s="19" t="s">
        <v>1870</v>
      </c>
    </row>
    <row r="77" spans="1:19" hidden="1" x14ac:dyDescent="0.25">
      <c r="A77" s="28">
        <v>1830075</v>
      </c>
      <c r="B77" s="15" t="s">
        <v>2175</v>
      </c>
      <c r="C77" s="19" t="s">
        <v>12</v>
      </c>
      <c r="D77" s="21" t="s">
        <v>2011</v>
      </c>
      <c r="E77" s="19" t="s">
        <v>2082</v>
      </c>
      <c r="F77" s="19" t="s">
        <v>2176</v>
      </c>
      <c r="G77" s="19" t="s">
        <v>2082</v>
      </c>
      <c r="H77" s="19" t="s">
        <v>1284</v>
      </c>
      <c r="I77" s="19"/>
      <c r="J77" s="19" t="s">
        <v>18</v>
      </c>
      <c r="K77" s="19" t="s">
        <v>18</v>
      </c>
      <c r="L77" s="19" t="s">
        <v>18</v>
      </c>
      <c r="M77" s="19" t="s">
        <v>19</v>
      </c>
      <c r="N77" s="19" t="s">
        <v>18</v>
      </c>
      <c r="O77" s="19"/>
      <c r="P77" s="19">
        <v>103.05416700000001</v>
      </c>
      <c r="Q77" s="19">
        <v>1.875</v>
      </c>
      <c r="R77" s="19" t="s">
        <v>41</v>
      </c>
      <c r="S77" s="19" t="s">
        <v>2177</v>
      </c>
    </row>
    <row r="78" spans="1:19" hidden="1" x14ac:dyDescent="0.25">
      <c r="A78" s="28">
        <v>1830076</v>
      </c>
      <c r="B78" s="15" t="s">
        <v>2178</v>
      </c>
      <c r="C78" s="19" t="s">
        <v>12</v>
      </c>
      <c r="D78" s="21" t="s">
        <v>2011</v>
      </c>
      <c r="E78" s="19" t="s">
        <v>2082</v>
      </c>
      <c r="F78" s="19" t="s">
        <v>2179</v>
      </c>
      <c r="G78" s="19" t="s">
        <v>2082</v>
      </c>
      <c r="H78" s="19" t="s">
        <v>859</v>
      </c>
      <c r="I78" s="19"/>
      <c r="J78" s="19" t="s">
        <v>18</v>
      </c>
      <c r="K78" s="19" t="s">
        <v>18</v>
      </c>
      <c r="L78" s="19" t="s">
        <v>18</v>
      </c>
      <c r="M78" s="19" t="s">
        <v>19</v>
      </c>
      <c r="N78" s="19" t="s">
        <v>19</v>
      </c>
      <c r="O78" s="19"/>
      <c r="P78" s="19">
        <v>103.020833</v>
      </c>
      <c r="Q78" s="19">
        <v>1.8402780000000001</v>
      </c>
      <c r="R78" s="19" t="s">
        <v>20</v>
      </c>
      <c r="S78" s="19" t="s">
        <v>1870</v>
      </c>
    </row>
    <row r="79" spans="1:19" hidden="1" x14ac:dyDescent="0.25">
      <c r="A79" s="28">
        <v>1831074</v>
      </c>
      <c r="B79" s="15" t="s">
        <v>2180</v>
      </c>
      <c r="C79" s="19" t="s">
        <v>12</v>
      </c>
      <c r="D79" s="21" t="s">
        <v>2011</v>
      </c>
      <c r="E79" s="19" t="s">
        <v>2082</v>
      </c>
      <c r="F79" s="19" t="s">
        <v>2181</v>
      </c>
      <c r="G79" s="19" t="s">
        <v>2082</v>
      </c>
      <c r="H79" s="19" t="s">
        <v>1543</v>
      </c>
      <c r="I79" s="19"/>
      <c r="J79" s="19" t="s">
        <v>18</v>
      </c>
      <c r="K79" s="19" t="s">
        <v>18</v>
      </c>
      <c r="L79" s="19" t="s">
        <v>18</v>
      </c>
      <c r="M79" s="19" t="s">
        <v>19</v>
      </c>
      <c r="N79" s="19" t="s">
        <v>18</v>
      </c>
      <c r="O79" s="19"/>
      <c r="P79" s="19">
        <v>103.1125</v>
      </c>
      <c r="Q79" s="19">
        <v>1.8694440000000001</v>
      </c>
      <c r="R79" s="19" t="s">
        <v>41</v>
      </c>
      <c r="S79" s="19" t="s">
        <v>1870</v>
      </c>
    </row>
    <row r="80" spans="1:19" hidden="1" x14ac:dyDescent="0.25">
      <c r="A80" s="28">
        <v>1832001</v>
      </c>
      <c r="B80" s="15" t="s">
        <v>2182</v>
      </c>
      <c r="C80" s="19" t="s">
        <v>12</v>
      </c>
      <c r="D80" s="21" t="s">
        <v>2011</v>
      </c>
      <c r="E80" s="19" t="s">
        <v>2140</v>
      </c>
      <c r="F80" s="19" t="s">
        <v>2183</v>
      </c>
      <c r="G80" s="19" t="s">
        <v>2090</v>
      </c>
      <c r="H80" s="19" t="s">
        <v>1758</v>
      </c>
      <c r="I80" s="19"/>
      <c r="J80" s="19" t="s">
        <v>18</v>
      </c>
      <c r="K80" s="19" t="s">
        <v>18</v>
      </c>
      <c r="L80" s="19" t="s">
        <v>18</v>
      </c>
      <c r="M80" s="19" t="s">
        <v>18</v>
      </c>
      <c r="N80" s="19" t="s">
        <v>18</v>
      </c>
      <c r="O80" s="19"/>
      <c r="P80" s="19">
        <v>103.272222</v>
      </c>
      <c r="Q80" s="19">
        <v>1.8861110000000001</v>
      </c>
      <c r="R80" s="19" t="s">
        <v>41</v>
      </c>
      <c r="S80" s="19" t="s">
        <v>2080</v>
      </c>
    </row>
    <row r="81" spans="1:19" hidden="1" x14ac:dyDescent="0.25">
      <c r="A81" s="28">
        <v>1833092</v>
      </c>
      <c r="B81" s="15" t="s">
        <v>2184</v>
      </c>
      <c r="C81" s="19" t="s">
        <v>12</v>
      </c>
      <c r="D81" s="21" t="s">
        <v>2011</v>
      </c>
      <c r="E81" s="19" t="s">
        <v>2140</v>
      </c>
      <c r="F81" s="19" t="s">
        <v>2089</v>
      </c>
      <c r="G81" s="19" t="s">
        <v>2090</v>
      </c>
      <c r="H81" s="19" t="s">
        <v>124</v>
      </c>
      <c r="I81" s="19"/>
      <c r="J81" s="19" t="s">
        <v>18</v>
      </c>
      <c r="K81" s="19" t="s">
        <v>18</v>
      </c>
      <c r="L81" s="19" t="s">
        <v>18</v>
      </c>
      <c r="M81" s="19" t="s">
        <v>19</v>
      </c>
      <c r="N81" s="19" t="s">
        <v>19</v>
      </c>
      <c r="O81" s="19"/>
      <c r="P81" s="19">
        <v>103.336111</v>
      </c>
      <c r="Q81" s="19">
        <v>1.8569439999999999</v>
      </c>
      <c r="R81" s="19" t="s">
        <v>20</v>
      </c>
      <c r="S81" s="19" t="s">
        <v>1870</v>
      </c>
    </row>
    <row r="82" spans="1:19" hidden="1" x14ac:dyDescent="0.25">
      <c r="A82" s="28">
        <v>1833093</v>
      </c>
      <c r="B82" s="15" t="s">
        <v>2185</v>
      </c>
      <c r="C82" s="19" t="s">
        <v>12</v>
      </c>
      <c r="D82" s="21" t="s">
        <v>2011</v>
      </c>
      <c r="E82" s="19" t="s">
        <v>2140</v>
      </c>
      <c r="F82" s="19" t="s">
        <v>2089</v>
      </c>
      <c r="G82" s="19" t="s">
        <v>2090</v>
      </c>
      <c r="H82" s="19" t="s">
        <v>1348</v>
      </c>
      <c r="I82" s="19" t="s">
        <v>2186</v>
      </c>
      <c r="J82" s="19" t="s">
        <v>19</v>
      </c>
      <c r="K82" s="19" t="s">
        <v>19</v>
      </c>
      <c r="L82" s="19" t="s">
        <v>18</v>
      </c>
      <c r="M82" s="19" t="s">
        <v>19</v>
      </c>
      <c r="N82" s="19" t="s">
        <v>19</v>
      </c>
      <c r="O82" s="19"/>
      <c r="P82" s="19">
        <v>103.3</v>
      </c>
      <c r="Q82" s="19">
        <v>1.826389</v>
      </c>
      <c r="R82" s="19" t="s">
        <v>164</v>
      </c>
      <c r="S82" s="19" t="s">
        <v>2187</v>
      </c>
    </row>
    <row r="83" spans="1:19" hidden="1" x14ac:dyDescent="0.25">
      <c r="A83" s="28">
        <v>1833123</v>
      </c>
      <c r="B83" s="15" t="s">
        <v>2188</v>
      </c>
      <c r="C83" s="19" t="s">
        <v>12</v>
      </c>
      <c r="D83" s="21" t="s">
        <v>2011</v>
      </c>
      <c r="E83" s="19" t="s">
        <v>2140</v>
      </c>
      <c r="F83" s="19" t="s">
        <v>2128</v>
      </c>
      <c r="G83" s="19" t="s">
        <v>2090</v>
      </c>
      <c r="H83" s="19" t="s">
        <v>386</v>
      </c>
      <c r="I83" s="19"/>
      <c r="J83" s="19" t="s">
        <v>18</v>
      </c>
      <c r="K83" s="19" t="s">
        <v>18</v>
      </c>
      <c r="L83" s="19" t="s">
        <v>18</v>
      </c>
      <c r="M83" s="19" t="s">
        <v>19</v>
      </c>
      <c r="N83" s="19" t="s">
        <v>19</v>
      </c>
      <c r="O83" s="19"/>
      <c r="P83" s="19">
        <v>103.352778</v>
      </c>
      <c r="Q83" s="19">
        <v>1.838889</v>
      </c>
      <c r="R83" s="19" t="s">
        <v>20</v>
      </c>
      <c r="S83" s="19" t="s">
        <v>1870</v>
      </c>
    </row>
    <row r="84" spans="1:19" hidden="1" x14ac:dyDescent="0.25">
      <c r="A84" s="28">
        <v>1834001</v>
      </c>
      <c r="B84" s="15" t="s">
        <v>2189</v>
      </c>
      <c r="C84" s="19" t="s">
        <v>12</v>
      </c>
      <c r="D84" s="21" t="s">
        <v>2011</v>
      </c>
      <c r="E84" s="19" t="s">
        <v>2140</v>
      </c>
      <c r="F84" s="19" t="s">
        <v>2141</v>
      </c>
      <c r="G84" s="19" t="s">
        <v>2011</v>
      </c>
      <c r="H84" s="19" t="s">
        <v>1226</v>
      </c>
      <c r="I84" s="19"/>
      <c r="J84" s="19" t="s">
        <v>18</v>
      </c>
      <c r="K84" s="19" t="s">
        <v>18</v>
      </c>
      <c r="L84" s="19" t="s">
        <v>19</v>
      </c>
      <c r="M84" s="19" t="s">
        <v>19</v>
      </c>
      <c r="N84" s="19" t="s">
        <v>18</v>
      </c>
      <c r="O84" s="19"/>
      <c r="P84" s="19">
        <v>103.47499999999999</v>
      </c>
      <c r="Q84" s="19">
        <v>1.8458330000000001</v>
      </c>
      <c r="R84" s="19" t="s">
        <v>41</v>
      </c>
      <c r="S84" s="19" t="s">
        <v>1870</v>
      </c>
    </row>
    <row r="85" spans="1:19" hidden="1" x14ac:dyDescent="0.25">
      <c r="A85" s="28">
        <v>1834122</v>
      </c>
      <c r="B85" s="15" t="s">
        <v>2190</v>
      </c>
      <c r="C85" s="19" t="s">
        <v>12</v>
      </c>
      <c r="D85" s="21" t="s">
        <v>2011</v>
      </c>
      <c r="E85" s="19" t="s">
        <v>2140</v>
      </c>
      <c r="F85" s="19" t="s">
        <v>2141</v>
      </c>
      <c r="G85" s="19" t="s">
        <v>2011</v>
      </c>
      <c r="H85" s="19" t="s">
        <v>954</v>
      </c>
      <c r="I85" s="19"/>
      <c r="J85" s="19" t="s">
        <v>18</v>
      </c>
      <c r="K85" s="19" t="s">
        <v>18</v>
      </c>
      <c r="L85" s="19" t="s">
        <v>18</v>
      </c>
      <c r="M85" s="19" t="s">
        <v>19</v>
      </c>
      <c r="N85" s="19" t="s">
        <v>19</v>
      </c>
      <c r="O85" s="19"/>
      <c r="P85" s="19">
        <v>103.415278</v>
      </c>
      <c r="Q85" s="19">
        <v>1.888889</v>
      </c>
      <c r="R85" s="19" t="s">
        <v>20</v>
      </c>
      <c r="S85" s="19" t="s">
        <v>2191</v>
      </c>
    </row>
    <row r="86" spans="1:19" hidden="1" x14ac:dyDescent="0.25">
      <c r="A86" s="28">
        <v>1834124</v>
      </c>
      <c r="B86" s="15" t="s">
        <v>2192</v>
      </c>
      <c r="C86" s="19" t="s">
        <v>12</v>
      </c>
      <c r="D86" s="21" t="s">
        <v>2011</v>
      </c>
      <c r="E86" s="19" t="s">
        <v>2140</v>
      </c>
      <c r="F86" s="19" t="s">
        <v>2141</v>
      </c>
      <c r="G86" s="19" t="s">
        <v>2011</v>
      </c>
      <c r="H86" s="19" t="s">
        <v>2153</v>
      </c>
      <c r="I86" s="19" t="s">
        <v>1226</v>
      </c>
      <c r="J86" s="19" t="s">
        <v>19</v>
      </c>
      <c r="K86" s="19" t="s">
        <v>19</v>
      </c>
      <c r="L86" s="19" t="s">
        <v>19</v>
      </c>
      <c r="M86" s="19" t="s">
        <v>19</v>
      </c>
      <c r="N86" s="19" t="s">
        <v>18</v>
      </c>
      <c r="O86" s="19"/>
      <c r="P86" s="19">
        <v>103.468056</v>
      </c>
      <c r="Q86" s="19">
        <v>1.848611</v>
      </c>
      <c r="R86" s="19" t="s">
        <v>41</v>
      </c>
      <c r="S86" s="19" t="s">
        <v>1870</v>
      </c>
    </row>
    <row r="87" spans="1:19" hidden="1" x14ac:dyDescent="0.25">
      <c r="A87" s="28">
        <v>1835001</v>
      </c>
      <c r="B87" s="15" t="s">
        <v>2193</v>
      </c>
      <c r="C87" s="19" t="s">
        <v>12</v>
      </c>
      <c r="D87" s="21" t="s">
        <v>2011</v>
      </c>
      <c r="E87" s="19" t="s">
        <v>2140</v>
      </c>
      <c r="F87" s="19" t="s">
        <v>2141</v>
      </c>
      <c r="G87" s="19" t="s">
        <v>2011</v>
      </c>
      <c r="H87" s="19" t="s">
        <v>1431</v>
      </c>
      <c r="I87" s="19"/>
      <c r="J87" s="19" t="s">
        <v>18</v>
      </c>
      <c r="K87" s="19" t="s">
        <v>18</v>
      </c>
      <c r="L87" s="19" t="s">
        <v>18</v>
      </c>
      <c r="M87" s="19" t="s">
        <v>19</v>
      </c>
      <c r="N87" s="19" t="s">
        <v>19</v>
      </c>
      <c r="O87" s="19"/>
      <c r="P87" s="19">
        <v>103.58750000000001</v>
      </c>
      <c r="Q87" s="19">
        <v>1.855556</v>
      </c>
      <c r="R87" s="19" t="s">
        <v>20</v>
      </c>
      <c r="S87" s="19" t="s">
        <v>1870</v>
      </c>
    </row>
    <row r="88" spans="1:19" hidden="1" x14ac:dyDescent="0.25">
      <c r="A88" s="28">
        <v>1836001</v>
      </c>
      <c r="B88" s="15" t="s">
        <v>2194</v>
      </c>
      <c r="C88" s="19" t="s">
        <v>12</v>
      </c>
      <c r="D88" s="21" t="s">
        <v>2011</v>
      </c>
      <c r="E88" s="19" t="s">
        <v>2028</v>
      </c>
      <c r="F88" s="19" t="s">
        <v>2195</v>
      </c>
      <c r="G88" s="19" t="s">
        <v>2011</v>
      </c>
      <c r="H88" s="19" t="s">
        <v>1483</v>
      </c>
      <c r="I88" s="19"/>
      <c r="J88" s="19" t="s">
        <v>18</v>
      </c>
      <c r="K88" s="19" t="s">
        <v>18</v>
      </c>
      <c r="L88" s="19" t="s">
        <v>18</v>
      </c>
      <c r="M88" s="19" t="s">
        <v>18</v>
      </c>
      <c r="N88" s="19" t="s">
        <v>19</v>
      </c>
      <c r="O88" s="19"/>
      <c r="P88" s="19">
        <v>103.6375</v>
      </c>
      <c r="Q88" s="19">
        <v>1.875</v>
      </c>
      <c r="R88" s="19" t="s">
        <v>41</v>
      </c>
      <c r="S88" s="19" t="s">
        <v>1870</v>
      </c>
    </row>
    <row r="89" spans="1:19" hidden="1" x14ac:dyDescent="0.25">
      <c r="A89" s="28">
        <v>1836002</v>
      </c>
      <c r="B89" s="15" t="s">
        <v>2196</v>
      </c>
      <c r="C89" s="19" t="s">
        <v>12</v>
      </c>
      <c r="D89" s="21" t="s">
        <v>2011</v>
      </c>
      <c r="E89" s="19" t="s">
        <v>2028</v>
      </c>
      <c r="F89" s="19" t="s">
        <v>2197</v>
      </c>
      <c r="G89" s="19" t="s">
        <v>2011</v>
      </c>
      <c r="H89" s="19" t="s">
        <v>2198</v>
      </c>
      <c r="I89" s="19" t="s">
        <v>1213</v>
      </c>
      <c r="J89" s="19" t="s">
        <v>19</v>
      </c>
      <c r="K89" s="19" t="s">
        <v>19</v>
      </c>
      <c r="L89" s="19" t="s">
        <v>18</v>
      </c>
      <c r="M89" s="19" t="s">
        <v>19</v>
      </c>
      <c r="N89" s="19" t="s">
        <v>19</v>
      </c>
      <c r="O89" s="19"/>
      <c r="P89" s="19">
        <v>103.63333299999999</v>
      </c>
      <c r="Q89" s="19">
        <v>1.884722</v>
      </c>
      <c r="R89" s="19" t="s">
        <v>41</v>
      </c>
      <c r="S89" s="19" t="s">
        <v>1870</v>
      </c>
    </row>
    <row r="90" spans="1:19" hidden="1" x14ac:dyDescent="0.25">
      <c r="A90" s="28">
        <v>1836145</v>
      </c>
      <c r="B90" s="15" t="s">
        <v>2199</v>
      </c>
      <c r="C90" s="19" t="s">
        <v>12</v>
      </c>
      <c r="D90" s="21" t="s">
        <v>2011</v>
      </c>
      <c r="E90" s="19" t="s">
        <v>2028</v>
      </c>
      <c r="F90" s="19" t="s">
        <v>2200</v>
      </c>
      <c r="G90" s="19" t="s">
        <v>2011</v>
      </c>
      <c r="H90" s="19" t="s">
        <v>2075</v>
      </c>
      <c r="I90" s="19" t="s">
        <v>2201</v>
      </c>
      <c r="J90" s="19" t="s">
        <v>19</v>
      </c>
      <c r="K90" s="19" t="s">
        <v>19</v>
      </c>
      <c r="L90" s="19" t="s">
        <v>18</v>
      </c>
      <c r="M90" s="19" t="s">
        <v>19</v>
      </c>
      <c r="N90" s="19" t="s">
        <v>19</v>
      </c>
      <c r="O90" s="19"/>
      <c r="P90" s="19">
        <v>103.630556</v>
      </c>
      <c r="Q90" s="19">
        <v>1.8138890000000001</v>
      </c>
      <c r="R90" s="19" t="s">
        <v>41</v>
      </c>
      <c r="S90" s="19" t="s">
        <v>2202</v>
      </c>
    </row>
    <row r="91" spans="1:19" hidden="1" x14ac:dyDescent="0.25">
      <c r="A91" s="28">
        <v>1838148</v>
      </c>
      <c r="B91" s="15" t="s">
        <v>2203</v>
      </c>
      <c r="C91" s="19" t="s">
        <v>12</v>
      </c>
      <c r="D91" s="21" t="s">
        <v>2011</v>
      </c>
      <c r="E91" s="19" t="s">
        <v>2028</v>
      </c>
      <c r="F91" s="19" t="s">
        <v>2146</v>
      </c>
      <c r="G91" s="19" t="s">
        <v>2011</v>
      </c>
      <c r="H91" s="19" t="s">
        <v>2143</v>
      </c>
      <c r="I91" s="19" t="s">
        <v>293</v>
      </c>
      <c r="J91" s="19" t="s">
        <v>19</v>
      </c>
      <c r="K91" s="19" t="s">
        <v>19</v>
      </c>
      <c r="L91" s="19" t="s">
        <v>18</v>
      </c>
      <c r="M91" s="19" t="s">
        <v>19</v>
      </c>
      <c r="N91" s="19" t="s">
        <v>19</v>
      </c>
      <c r="O91" s="19"/>
      <c r="P91" s="19">
        <v>103.833333</v>
      </c>
      <c r="Q91" s="19">
        <v>1.831944</v>
      </c>
      <c r="R91" s="19" t="s">
        <v>164</v>
      </c>
      <c r="S91" s="19" t="s">
        <v>1870</v>
      </c>
    </row>
    <row r="92" spans="1:19" hidden="1" x14ac:dyDescent="0.25">
      <c r="A92" s="28">
        <v>1839196</v>
      </c>
      <c r="B92" s="15" t="s">
        <v>2204</v>
      </c>
      <c r="C92" s="19" t="s">
        <v>12</v>
      </c>
      <c r="D92" s="21" t="s">
        <v>2011</v>
      </c>
      <c r="E92" s="19" t="s">
        <v>2028</v>
      </c>
      <c r="F92" s="19" t="s">
        <v>2205</v>
      </c>
      <c r="G92" s="19" t="s">
        <v>2206</v>
      </c>
      <c r="H92" s="19" t="s">
        <v>1202</v>
      </c>
      <c r="I92" s="19"/>
      <c r="J92" s="19" t="s">
        <v>18</v>
      </c>
      <c r="K92" s="19" t="s">
        <v>18</v>
      </c>
      <c r="L92" s="19" t="s">
        <v>19</v>
      </c>
      <c r="M92" s="19" t="s">
        <v>19</v>
      </c>
      <c r="N92" s="19" t="s">
        <v>18</v>
      </c>
      <c r="O92" s="19"/>
      <c r="P92" s="19">
        <v>103.965278</v>
      </c>
      <c r="Q92" s="19">
        <v>1.85</v>
      </c>
      <c r="R92" s="19" t="s">
        <v>41</v>
      </c>
      <c r="S92" s="19" t="s">
        <v>1870</v>
      </c>
    </row>
    <row r="93" spans="1:19" hidden="1" x14ac:dyDescent="0.25">
      <c r="A93" s="28">
        <v>1840001</v>
      </c>
      <c r="B93" s="15" t="s">
        <v>2207</v>
      </c>
      <c r="C93" s="19" t="s">
        <v>12</v>
      </c>
      <c r="D93" s="21" t="s">
        <v>2011</v>
      </c>
      <c r="E93" s="19" t="s">
        <v>2028</v>
      </c>
      <c r="F93" s="19" t="s">
        <v>2208</v>
      </c>
      <c r="G93" s="19" t="s">
        <v>2205</v>
      </c>
      <c r="H93" s="19" t="s">
        <v>769</v>
      </c>
      <c r="I93" s="19" t="s">
        <v>2209</v>
      </c>
      <c r="J93" s="19" t="s">
        <v>19</v>
      </c>
      <c r="K93" s="19" t="s">
        <v>19</v>
      </c>
      <c r="L93" s="19" t="s">
        <v>18</v>
      </c>
      <c r="M93" s="19" t="s">
        <v>19</v>
      </c>
      <c r="N93" s="19" t="s">
        <v>19</v>
      </c>
      <c r="O93" s="19"/>
      <c r="P93" s="19">
        <v>104.05</v>
      </c>
      <c r="Q93" s="19">
        <v>1.891667</v>
      </c>
      <c r="R93" s="19" t="s">
        <v>164</v>
      </c>
      <c r="S93" s="19" t="s">
        <v>2085</v>
      </c>
    </row>
    <row r="94" spans="1:19" hidden="1" x14ac:dyDescent="0.25">
      <c r="A94" s="28">
        <v>1841199</v>
      </c>
      <c r="B94" s="15" t="s">
        <v>2210</v>
      </c>
      <c r="C94" s="19" t="s">
        <v>12</v>
      </c>
      <c r="D94" s="21" t="s">
        <v>2011</v>
      </c>
      <c r="E94" s="19" t="s">
        <v>2028</v>
      </c>
      <c r="F94" s="19" t="s">
        <v>2160</v>
      </c>
      <c r="G94" s="19" t="s">
        <v>2211</v>
      </c>
      <c r="H94" s="19" t="s">
        <v>2143</v>
      </c>
      <c r="I94" s="19" t="s">
        <v>2212</v>
      </c>
      <c r="J94" s="19" t="s">
        <v>19</v>
      </c>
      <c r="K94" s="19" t="s">
        <v>19</v>
      </c>
      <c r="L94" s="19" t="s">
        <v>18</v>
      </c>
      <c r="M94" s="19" t="s">
        <v>19</v>
      </c>
      <c r="N94" s="19" t="s">
        <v>19</v>
      </c>
      <c r="O94" s="19"/>
      <c r="P94" s="19">
        <v>104.148611</v>
      </c>
      <c r="Q94" s="19">
        <v>1.8416669999999999</v>
      </c>
      <c r="R94" s="19" t="s">
        <v>41</v>
      </c>
      <c r="S94" s="19" t="s">
        <v>1870</v>
      </c>
    </row>
    <row r="95" spans="1:19" hidden="1" x14ac:dyDescent="0.25">
      <c r="A95" s="28">
        <v>1926001</v>
      </c>
      <c r="B95" s="15" t="s">
        <v>2213</v>
      </c>
      <c r="C95" s="19" t="s">
        <v>12</v>
      </c>
      <c r="D95" s="21" t="s">
        <v>2011</v>
      </c>
      <c r="E95" s="19" t="s">
        <v>1346</v>
      </c>
      <c r="F95" s="19" t="s">
        <v>2214</v>
      </c>
      <c r="G95" s="19" t="s">
        <v>2215</v>
      </c>
      <c r="H95" s="19" t="s">
        <v>959</v>
      </c>
      <c r="I95" s="19"/>
      <c r="J95" s="19" t="s">
        <v>18</v>
      </c>
      <c r="K95" s="19" t="s">
        <v>18</v>
      </c>
      <c r="L95" s="19" t="s">
        <v>18</v>
      </c>
      <c r="M95" s="19" t="s">
        <v>19</v>
      </c>
      <c r="N95" s="19" t="s">
        <v>19</v>
      </c>
      <c r="O95" s="19"/>
      <c r="P95" s="19">
        <v>102.634722</v>
      </c>
      <c r="Q95" s="19">
        <v>1.9527779999999999</v>
      </c>
      <c r="R95" s="19" t="s">
        <v>41</v>
      </c>
      <c r="S95" s="19" t="s">
        <v>2216</v>
      </c>
    </row>
    <row r="96" spans="1:19" hidden="1" x14ac:dyDescent="0.25">
      <c r="A96" s="28">
        <v>1926051</v>
      </c>
      <c r="B96" s="15" t="s">
        <v>2217</v>
      </c>
      <c r="C96" s="19" t="s">
        <v>12</v>
      </c>
      <c r="D96" s="21" t="s">
        <v>2011</v>
      </c>
      <c r="E96" s="19" t="s">
        <v>1346</v>
      </c>
      <c r="F96" s="19" t="s">
        <v>2214</v>
      </c>
      <c r="G96" s="19" t="s">
        <v>2215</v>
      </c>
      <c r="H96" s="19" t="s">
        <v>536</v>
      </c>
      <c r="I96" s="19"/>
      <c r="J96" s="19" t="s">
        <v>18</v>
      </c>
      <c r="K96" s="19" t="s">
        <v>18</v>
      </c>
      <c r="L96" s="19" t="s">
        <v>18</v>
      </c>
      <c r="M96" s="19" t="s">
        <v>19</v>
      </c>
      <c r="N96" s="19" t="s">
        <v>18</v>
      </c>
      <c r="O96" s="19"/>
      <c r="P96" s="19">
        <v>102.691667</v>
      </c>
      <c r="Q96" s="19">
        <v>2</v>
      </c>
      <c r="R96" s="19" t="s">
        <v>20</v>
      </c>
      <c r="S96" s="19" t="s">
        <v>2085</v>
      </c>
    </row>
    <row r="97" spans="1:19" hidden="1" x14ac:dyDescent="0.25">
      <c r="A97" s="28">
        <v>1926052</v>
      </c>
      <c r="B97" s="15" t="s">
        <v>2218</v>
      </c>
      <c r="C97" s="19" t="s">
        <v>12</v>
      </c>
      <c r="D97" s="21" t="s">
        <v>2011</v>
      </c>
      <c r="E97" s="19" t="s">
        <v>1346</v>
      </c>
      <c r="F97" s="19" t="s">
        <v>2219</v>
      </c>
      <c r="G97" s="19" t="s">
        <v>2220</v>
      </c>
      <c r="H97" s="19" t="s">
        <v>163</v>
      </c>
      <c r="I97" s="19" t="s">
        <v>959</v>
      </c>
      <c r="J97" s="19" t="s">
        <v>19</v>
      </c>
      <c r="K97" s="19" t="s">
        <v>19</v>
      </c>
      <c r="L97" s="19" t="s">
        <v>18</v>
      </c>
      <c r="M97" s="19" t="s">
        <v>19</v>
      </c>
      <c r="N97" s="19" t="s">
        <v>19</v>
      </c>
      <c r="O97" s="19"/>
      <c r="P97" s="19">
        <v>102.645833</v>
      </c>
      <c r="Q97" s="19">
        <v>1.9430559999999999</v>
      </c>
      <c r="R97" s="19" t="s">
        <v>41</v>
      </c>
      <c r="S97" s="19" t="s">
        <v>1870</v>
      </c>
    </row>
    <row r="98" spans="1:19" hidden="1" x14ac:dyDescent="0.25">
      <c r="A98" s="28">
        <v>1927053</v>
      </c>
      <c r="B98" s="15" t="s">
        <v>2221</v>
      </c>
      <c r="C98" s="19" t="s">
        <v>12</v>
      </c>
      <c r="D98" s="21" t="s">
        <v>2011</v>
      </c>
      <c r="E98" s="19" t="s">
        <v>1346</v>
      </c>
      <c r="F98" s="19" t="s">
        <v>2222</v>
      </c>
      <c r="G98" s="19" t="s">
        <v>2223</v>
      </c>
      <c r="H98" s="19" t="s">
        <v>1660</v>
      </c>
      <c r="I98" s="19" t="s">
        <v>2224</v>
      </c>
      <c r="J98" s="19" t="s">
        <v>19</v>
      </c>
      <c r="K98" s="19" t="s">
        <v>19</v>
      </c>
      <c r="L98" s="19" t="s">
        <v>18</v>
      </c>
      <c r="M98" s="19" t="s">
        <v>19</v>
      </c>
      <c r="N98" s="19" t="s">
        <v>19</v>
      </c>
      <c r="O98" s="19"/>
      <c r="P98" s="19">
        <v>102.773611</v>
      </c>
      <c r="Q98" s="19">
        <v>1.954167</v>
      </c>
      <c r="R98" s="19" t="s">
        <v>41</v>
      </c>
      <c r="S98" s="19" t="s">
        <v>2225</v>
      </c>
    </row>
    <row r="99" spans="1:19" hidden="1" x14ac:dyDescent="0.25">
      <c r="A99" s="28">
        <v>1928065</v>
      </c>
      <c r="B99" s="15" t="s">
        <v>2226</v>
      </c>
      <c r="C99" s="19" t="s">
        <v>12</v>
      </c>
      <c r="D99" s="21" t="s">
        <v>2011</v>
      </c>
      <c r="E99" s="19" t="s">
        <v>2082</v>
      </c>
      <c r="F99" s="19" t="s">
        <v>2163</v>
      </c>
      <c r="G99" s="19" t="s">
        <v>2082</v>
      </c>
      <c r="H99" s="19" t="s">
        <v>1641</v>
      </c>
      <c r="I99" s="19"/>
      <c r="J99" s="19" t="s">
        <v>18</v>
      </c>
      <c r="K99" s="19" t="s">
        <v>18</v>
      </c>
      <c r="L99" s="19" t="s">
        <v>18</v>
      </c>
      <c r="M99" s="19" t="s">
        <v>19</v>
      </c>
      <c r="N99" s="19" t="s">
        <v>18</v>
      </c>
      <c r="O99" s="19"/>
      <c r="P99" s="19">
        <v>102.87777800000001</v>
      </c>
      <c r="Q99" s="19">
        <v>1.920833</v>
      </c>
      <c r="R99" s="19" t="s">
        <v>41</v>
      </c>
      <c r="S99" s="19" t="s">
        <v>2169</v>
      </c>
    </row>
    <row r="100" spans="1:19" hidden="1" x14ac:dyDescent="0.25">
      <c r="A100" s="28">
        <v>1929064</v>
      </c>
      <c r="B100" s="15" t="s">
        <v>2227</v>
      </c>
      <c r="C100" s="19" t="s">
        <v>12</v>
      </c>
      <c r="D100" s="21" t="s">
        <v>2011</v>
      </c>
      <c r="E100" s="19" t="s">
        <v>2082</v>
      </c>
      <c r="F100" s="19" t="s">
        <v>2228</v>
      </c>
      <c r="G100" s="19" t="s">
        <v>2082</v>
      </c>
      <c r="H100" s="19" t="s">
        <v>163</v>
      </c>
      <c r="I100" s="19"/>
      <c r="J100" s="19" t="s">
        <v>18</v>
      </c>
      <c r="K100" s="19" t="s">
        <v>18</v>
      </c>
      <c r="L100" s="19" t="s">
        <v>18</v>
      </c>
      <c r="M100" s="19" t="s">
        <v>19</v>
      </c>
      <c r="N100" s="19" t="s">
        <v>18</v>
      </c>
      <c r="O100" s="19"/>
      <c r="P100" s="19">
        <v>102.925</v>
      </c>
      <c r="Q100" s="19">
        <v>1.9819439999999999</v>
      </c>
      <c r="R100" s="19" t="s">
        <v>164</v>
      </c>
      <c r="S100" s="19" t="s">
        <v>2080</v>
      </c>
    </row>
    <row r="101" spans="1:19" hidden="1" x14ac:dyDescent="0.25">
      <c r="A101" s="28">
        <v>1929065</v>
      </c>
      <c r="B101" s="15" t="s">
        <v>2229</v>
      </c>
      <c r="C101" s="19" t="s">
        <v>12</v>
      </c>
      <c r="D101" s="21" t="s">
        <v>2011</v>
      </c>
      <c r="E101" s="19" t="s">
        <v>2082</v>
      </c>
      <c r="F101" s="19" t="s">
        <v>2230</v>
      </c>
      <c r="G101" s="19" t="s">
        <v>2230</v>
      </c>
      <c r="H101" s="19"/>
      <c r="I101" s="19"/>
      <c r="J101" s="19" t="s">
        <v>19</v>
      </c>
      <c r="K101" s="19" t="s">
        <v>18</v>
      </c>
      <c r="L101" s="19" t="s">
        <v>19</v>
      </c>
      <c r="M101" s="19" t="s">
        <v>18</v>
      </c>
      <c r="N101" s="19" t="s">
        <v>19</v>
      </c>
      <c r="O101" s="19"/>
      <c r="P101" s="19">
        <v>102.966667</v>
      </c>
      <c r="Q101" s="19">
        <v>1.9930559999999999</v>
      </c>
      <c r="R101" s="19"/>
      <c r="S101" s="19" t="s">
        <v>1870</v>
      </c>
    </row>
    <row r="102" spans="1:19" hidden="1" x14ac:dyDescent="0.25">
      <c r="A102" s="28">
        <v>1931001</v>
      </c>
      <c r="B102" s="15" t="s">
        <v>2231</v>
      </c>
      <c r="C102" s="19" t="s">
        <v>12</v>
      </c>
      <c r="D102" s="21" t="s">
        <v>2011</v>
      </c>
      <c r="E102" s="19" t="s">
        <v>2082</v>
      </c>
      <c r="F102" s="19" t="s">
        <v>2181</v>
      </c>
      <c r="G102" s="19" t="s">
        <v>2082</v>
      </c>
      <c r="H102" s="19" t="s">
        <v>688</v>
      </c>
      <c r="I102" s="19" t="s">
        <v>1473</v>
      </c>
      <c r="J102" s="19" t="s">
        <v>19</v>
      </c>
      <c r="K102" s="19" t="s">
        <v>19</v>
      </c>
      <c r="L102" s="19" t="s">
        <v>19</v>
      </c>
      <c r="M102" s="19" t="s">
        <v>19</v>
      </c>
      <c r="N102" s="19" t="s">
        <v>18</v>
      </c>
      <c r="O102" s="19"/>
      <c r="P102" s="19">
        <v>103.16249999999999</v>
      </c>
      <c r="Q102" s="19">
        <v>1.9388890000000001</v>
      </c>
      <c r="R102" s="19" t="s">
        <v>41</v>
      </c>
      <c r="S102" s="19" t="s">
        <v>1870</v>
      </c>
    </row>
    <row r="103" spans="1:19" hidden="1" x14ac:dyDescent="0.25">
      <c r="A103" s="28">
        <v>1931002</v>
      </c>
      <c r="B103" s="15" t="s">
        <v>2232</v>
      </c>
      <c r="C103" s="19" t="s">
        <v>12</v>
      </c>
      <c r="D103" s="21" t="s">
        <v>2011</v>
      </c>
      <c r="E103" s="19" t="s">
        <v>2082</v>
      </c>
      <c r="F103" s="19" t="s">
        <v>2233</v>
      </c>
      <c r="G103" s="19" t="s">
        <v>1430</v>
      </c>
      <c r="H103" s="19" t="s">
        <v>1473</v>
      </c>
      <c r="I103" s="19" t="s">
        <v>2234</v>
      </c>
      <c r="J103" s="19" t="s">
        <v>19</v>
      </c>
      <c r="K103" s="19" t="s">
        <v>19</v>
      </c>
      <c r="L103" s="19" t="s">
        <v>18</v>
      </c>
      <c r="M103" s="19" t="s">
        <v>19</v>
      </c>
      <c r="N103" s="19" t="s">
        <v>18</v>
      </c>
      <c r="O103" s="19"/>
      <c r="P103" s="19">
        <v>103.197222</v>
      </c>
      <c r="Q103" s="19">
        <v>1.9819439999999999</v>
      </c>
      <c r="R103" s="19" t="s">
        <v>41</v>
      </c>
      <c r="S103" s="19" t="s">
        <v>1870</v>
      </c>
    </row>
    <row r="104" spans="1:19" hidden="1" x14ac:dyDescent="0.25">
      <c r="A104" s="28">
        <v>1931003</v>
      </c>
      <c r="B104" s="15" t="s">
        <v>2235</v>
      </c>
      <c r="C104" s="19" t="s">
        <v>12</v>
      </c>
      <c r="D104" s="21" t="s">
        <v>2011</v>
      </c>
      <c r="E104" s="19" t="s">
        <v>2082</v>
      </c>
      <c r="F104" s="19" t="s">
        <v>2230</v>
      </c>
      <c r="G104" s="19" t="s">
        <v>2082</v>
      </c>
      <c r="H104" s="19" t="s">
        <v>816</v>
      </c>
      <c r="I104" s="19"/>
      <c r="J104" s="19" t="s">
        <v>18</v>
      </c>
      <c r="K104" s="19" t="s">
        <v>18</v>
      </c>
      <c r="L104" s="19" t="s">
        <v>18</v>
      </c>
      <c r="M104" s="19" t="s">
        <v>18</v>
      </c>
      <c r="N104" s="19" t="s">
        <v>18</v>
      </c>
      <c r="O104" s="19"/>
      <c r="P104" s="19">
        <v>103.17916700000001</v>
      </c>
      <c r="Q104" s="19">
        <v>1.973611</v>
      </c>
      <c r="R104" s="19" t="s">
        <v>41</v>
      </c>
      <c r="S104" s="19" t="s">
        <v>1870</v>
      </c>
    </row>
    <row r="105" spans="1:19" hidden="1" x14ac:dyDescent="0.25">
      <c r="A105" s="28">
        <v>1931072</v>
      </c>
      <c r="B105" s="15" t="s">
        <v>2236</v>
      </c>
      <c r="C105" s="19" t="s">
        <v>12</v>
      </c>
      <c r="D105" s="21" t="s">
        <v>2011</v>
      </c>
      <c r="E105" s="19" t="s">
        <v>2082</v>
      </c>
      <c r="F105" s="19" t="s">
        <v>2181</v>
      </c>
      <c r="G105" s="19" t="s">
        <v>2082</v>
      </c>
      <c r="H105" s="19" t="s">
        <v>750</v>
      </c>
      <c r="I105" s="19" t="s">
        <v>2237</v>
      </c>
      <c r="J105" s="19" t="s">
        <v>19</v>
      </c>
      <c r="K105" s="19" t="s">
        <v>19</v>
      </c>
      <c r="L105" s="19" t="s">
        <v>18</v>
      </c>
      <c r="M105" s="19" t="s">
        <v>19</v>
      </c>
      <c r="N105" s="19" t="s">
        <v>19</v>
      </c>
      <c r="O105" s="19"/>
      <c r="P105" s="19">
        <v>103.186111</v>
      </c>
      <c r="Q105" s="19">
        <v>1.9347220000000001</v>
      </c>
      <c r="R105" s="19" t="s">
        <v>544</v>
      </c>
      <c r="S105" s="19" t="s">
        <v>2238</v>
      </c>
    </row>
    <row r="106" spans="1:19" hidden="1" x14ac:dyDescent="0.25">
      <c r="A106" s="28">
        <v>1931073</v>
      </c>
      <c r="B106" s="15" t="s">
        <v>2239</v>
      </c>
      <c r="C106" s="19" t="s">
        <v>12</v>
      </c>
      <c r="D106" s="21" t="s">
        <v>2011</v>
      </c>
      <c r="E106" s="19" t="s">
        <v>2082</v>
      </c>
      <c r="F106" s="19" t="s">
        <v>2181</v>
      </c>
      <c r="G106" s="19" t="s">
        <v>2082</v>
      </c>
      <c r="H106" s="19" t="s">
        <v>2240</v>
      </c>
      <c r="I106" s="19" t="s">
        <v>2241</v>
      </c>
      <c r="J106" s="19" t="s">
        <v>19</v>
      </c>
      <c r="K106" s="19" t="s">
        <v>19</v>
      </c>
      <c r="L106" s="19" t="s">
        <v>18</v>
      </c>
      <c r="M106" s="19" t="s">
        <v>19</v>
      </c>
      <c r="N106" s="19" t="s">
        <v>19</v>
      </c>
      <c r="O106" s="19"/>
      <c r="P106" s="19">
        <v>103.130556</v>
      </c>
      <c r="Q106" s="19">
        <v>1.9083330000000001</v>
      </c>
      <c r="R106" s="19" t="s">
        <v>41</v>
      </c>
      <c r="S106" s="19" t="s">
        <v>2091</v>
      </c>
    </row>
    <row r="107" spans="1:19" hidden="1" x14ac:dyDescent="0.25">
      <c r="A107" s="28">
        <v>1932001</v>
      </c>
      <c r="B107" s="15" t="s">
        <v>2242</v>
      </c>
      <c r="C107" s="19" t="s">
        <v>12</v>
      </c>
      <c r="D107" s="21" t="s">
        <v>2011</v>
      </c>
      <c r="E107" s="19" t="s">
        <v>2140</v>
      </c>
      <c r="F107" s="19" t="s">
        <v>2089</v>
      </c>
      <c r="G107" s="19" t="s">
        <v>2090</v>
      </c>
      <c r="H107" s="19" t="s">
        <v>1133</v>
      </c>
      <c r="I107" s="19" t="s">
        <v>2243</v>
      </c>
      <c r="J107" s="19" t="s">
        <v>19</v>
      </c>
      <c r="K107" s="19" t="s">
        <v>19</v>
      </c>
      <c r="L107" s="19" t="s">
        <v>18</v>
      </c>
      <c r="M107" s="19" t="s">
        <v>19</v>
      </c>
      <c r="N107" s="19" t="s">
        <v>19</v>
      </c>
      <c r="O107" s="19"/>
      <c r="P107" s="19">
        <v>103.231944</v>
      </c>
      <c r="Q107" s="19">
        <v>1.9583330000000001</v>
      </c>
      <c r="R107" s="19" t="s">
        <v>421</v>
      </c>
      <c r="S107" s="19" t="s">
        <v>1870</v>
      </c>
    </row>
    <row r="108" spans="1:19" hidden="1" x14ac:dyDescent="0.25">
      <c r="A108" s="28">
        <v>1932001</v>
      </c>
      <c r="B108" s="15" t="s">
        <v>2244</v>
      </c>
      <c r="C108" s="19" t="s">
        <v>12</v>
      </c>
      <c r="D108" s="21" t="s">
        <v>2011</v>
      </c>
      <c r="E108" s="19" t="s">
        <v>2140</v>
      </c>
      <c r="F108" s="19" t="s">
        <v>2128</v>
      </c>
      <c r="G108" s="19" t="s">
        <v>2128</v>
      </c>
      <c r="H108" s="19"/>
      <c r="I108" s="19"/>
      <c r="J108" s="19" t="s">
        <v>19</v>
      </c>
      <c r="K108" s="19" t="s">
        <v>18</v>
      </c>
      <c r="L108" s="19" t="s">
        <v>19</v>
      </c>
      <c r="M108" s="19" t="s">
        <v>18</v>
      </c>
      <c r="N108" s="19" t="s">
        <v>19</v>
      </c>
      <c r="O108" s="19"/>
      <c r="P108" s="19">
        <v>103.231944</v>
      </c>
      <c r="Q108" s="19">
        <v>1.9583330000000001</v>
      </c>
      <c r="R108" s="19"/>
      <c r="S108" s="19" t="s">
        <v>1870</v>
      </c>
    </row>
    <row r="109" spans="1:19" hidden="1" x14ac:dyDescent="0.25">
      <c r="A109" s="28">
        <v>1932091</v>
      </c>
      <c r="B109" s="15" t="s">
        <v>2245</v>
      </c>
      <c r="C109" s="19" t="s">
        <v>12</v>
      </c>
      <c r="D109" s="21" t="s">
        <v>2011</v>
      </c>
      <c r="E109" s="19" t="s">
        <v>2140</v>
      </c>
      <c r="F109" s="19" t="s">
        <v>2246</v>
      </c>
      <c r="G109" s="19" t="s">
        <v>2089</v>
      </c>
      <c r="H109" s="19" t="s">
        <v>714</v>
      </c>
      <c r="I109" s="19" t="s">
        <v>541</v>
      </c>
      <c r="J109" s="19" t="s">
        <v>19</v>
      </c>
      <c r="K109" s="19" t="s">
        <v>19</v>
      </c>
      <c r="L109" s="19" t="s">
        <v>18</v>
      </c>
      <c r="M109" s="19" t="s">
        <v>19</v>
      </c>
      <c r="N109" s="19" t="s">
        <v>19</v>
      </c>
      <c r="O109" s="19"/>
      <c r="P109" s="19">
        <v>103.279167</v>
      </c>
      <c r="Q109" s="19">
        <v>1.9402779999999999</v>
      </c>
      <c r="R109" s="19" t="s">
        <v>20</v>
      </c>
      <c r="S109" s="19" t="s">
        <v>1870</v>
      </c>
    </row>
    <row r="110" spans="1:19" hidden="1" x14ac:dyDescent="0.25">
      <c r="A110" s="28">
        <v>1933121</v>
      </c>
      <c r="B110" s="15" t="s">
        <v>2247</v>
      </c>
      <c r="C110" s="19" t="s">
        <v>12</v>
      </c>
      <c r="D110" s="21" t="s">
        <v>2011</v>
      </c>
      <c r="E110" s="19" t="s">
        <v>2140</v>
      </c>
      <c r="F110" s="19" t="s">
        <v>2248</v>
      </c>
      <c r="G110" s="19" t="s">
        <v>2011</v>
      </c>
      <c r="H110" s="19" t="s">
        <v>1284</v>
      </c>
      <c r="I110" s="19"/>
      <c r="J110" s="19" t="s">
        <v>18</v>
      </c>
      <c r="K110" s="19" t="s">
        <v>18</v>
      </c>
      <c r="L110" s="19" t="s">
        <v>18</v>
      </c>
      <c r="M110" s="19" t="s">
        <v>19</v>
      </c>
      <c r="N110" s="19" t="s">
        <v>19</v>
      </c>
      <c r="O110" s="19"/>
      <c r="P110" s="19">
        <v>103.397222</v>
      </c>
      <c r="Q110" s="19">
        <v>1.9027780000000001</v>
      </c>
      <c r="R110" s="19" t="s">
        <v>20</v>
      </c>
      <c r="S110" s="19" t="s">
        <v>2144</v>
      </c>
    </row>
    <row r="111" spans="1:19" hidden="1" x14ac:dyDescent="0.25">
      <c r="A111" s="28">
        <v>1933151</v>
      </c>
      <c r="B111" s="15" t="s">
        <v>2249</v>
      </c>
      <c r="C111" s="19" t="s">
        <v>12</v>
      </c>
      <c r="D111" s="21" t="s">
        <v>2011</v>
      </c>
      <c r="E111" s="19" t="s">
        <v>2140</v>
      </c>
      <c r="F111" s="19" t="s">
        <v>2141</v>
      </c>
      <c r="G111" s="19" t="s">
        <v>2011</v>
      </c>
      <c r="H111" s="19" t="s">
        <v>2250</v>
      </c>
      <c r="I111" s="19"/>
      <c r="J111" s="19" t="s">
        <v>18</v>
      </c>
      <c r="K111" s="19" t="s">
        <v>18</v>
      </c>
      <c r="L111" s="19" t="s">
        <v>18</v>
      </c>
      <c r="M111" s="19" t="s">
        <v>19</v>
      </c>
      <c r="N111" s="19" t="s">
        <v>19</v>
      </c>
      <c r="O111" s="19"/>
      <c r="P111" s="19">
        <v>103.32638900000001</v>
      </c>
      <c r="Q111" s="19">
        <v>1.968056</v>
      </c>
      <c r="R111" s="19" t="s">
        <v>20</v>
      </c>
      <c r="S111" s="19" t="s">
        <v>2251</v>
      </c>
    </row>
    <row r="112" spans="1:19" hidden="1" x14ac:dyDescent="0.25">
      <c r="A112" s="28">
        <v>1937149</v>
      </c>
      <c r="B112" s="15" t="s">
        <v>2252</v>
      </c>
      <c r="C112" s="19" t="s">
        <v>12</v>
      </c>
      <c r="D112" s="21" t="s">
        <v>2011</v>
      </c>
      <c r="E112" s="19" t="s">
        <v>2028</v>
      </c>
      <c r="F112" s="19" t="s">
        <v>2146</v>
      </c>
      <c r="G112" s="19" t="s">
        <v>2011</v>
      </c>
      <c r="H112" s="19" t="s">
        <v>2155</v>
      </c>
      <c r="I112" s="19" t="s">
        <v>2253</v>
      </c>
      <c r="J112" s="19" t="s">
        <v>19</v>
      </c>
      <c r="K112" s="19" t="s">
        <v>19</v>
      </c>
      <c r="L112" s="19" t="s">
        <v>19</v>
      </c>
      <c r="M112" s="19" t="s">
        <v>19</v>
      </c>
      <c r="N112" s="19" t="s">
        <v>18</v>
      </c>
      <c r="O112" s="19"/>
      <c r="P112" s="19">
        <v>103.709722</v>
      </c>
      <c r="Q112" s="19">
        <v>1.925</v>
      </c>
      <c r="R112" s="19" t="s">
        <v>41</v>
      </c>
      <c r="S112" s="19" t="s">
        <v>1870</v>
      </c>
    </row>
    <row r="113" spans="1:19" hidden="1" x14ac:dyDescent="0.25">
      <c r="A113" s="28">
        <v>1938194</v>
      </c>
      <c r="B113" s="15" t="s">
        <v>2254</v>
      </c>
      <c r="C113" s="19" t="s">
        <v>12</v>
      </c>
      <c r="D113" s="21" t="s">
        <v>2011</v>
      </c>
      <c r="E113" s="19" t="s">
        <v>2028</v>
      </c>
      <c r="F113" s="19" t="s">
        <v>2146</v>
      </c>
      <c r="G113" s="19" t="s">
        <v>2011</v>
      </c>
      <c r="H113" s="19" t="s">
        <v>2143</v>
      </c>
      <c r="I113" s="19" t="s">
        <v>2255</v>
      </c>
      <c r="J113" s="19" t="s">
        <v>19</v>
      </c>
      <c r="K113" s="19" t="s">
        <v>19</v>
      </c>
      <c r="L113" s="19" t="s">
        <v>18</v>
      </c>
      <c r="M113" s="19" t="s">
        <v>19</v>
      </c>
      <c r="N113" s="19" t="s">
        <v>19</v>
      </c>
      <c r="O113" s="19"/>
      <c r="P113" s="19">
        <v>103.873611</v>
      </c>
      <c r="Q113" s="19">
        <v>1.959722</v>
      </c>
      <c r="R113" s="19" t="s">
        <v>41</v>
      </c>
      <c r="S113" s="19" t="s">
        <v>1870</v>
      </c>
    </row>
    <row r="114" spans="1:19" hidden="1" x14ac:dyDescent="0.25">
      <c r="A114" s="28">
        <v>1941198</v>
      </c>
      <c r="B114" s="15" t="s">
        <v>2256</v>
      </c>
      <c r="C114" s="19" t="s">
        <v>12</v>
      </c>
      <c r="D114" s="21" t="s">
        <v>2011</v>
      </c>
      <c r="E114" s="19" t="s">
        <v>2028</v>
      </c>
      <c r="F114" s="19" t="s">
        <v>2146</v>
      </c>
      <c r="G114" s="19" t="s">
        <v>2011</v>
      </c>
      <c r="H114" s="19" t="s">
        <v>469</v>
      </c>
      <c r="I114" s="19" t="s">
        <v>864</v>
      </c>
      <c r="J114" s="19" t="s">
        <v>19</v>
      </c>
      <c r="K114" s="19" t="s">
        <v>19</v>
      </c>
      <c r="L114" s="19" t="s">
        <v>18</v>
      </c>
      <c r="M114" s="19" t="s">
        <v>19</v>
      </c>
      <c r="N114" s="19" t="s">
        <v>19</v>
      </c>
      <c r="O114" s="19"/>
      <c r="P114" s="19">
        <v>104.108333</v>
      </c>
      <c r="Q114" s="19">
        <v>1.927778</v>
      </c>
      <c r="R114" s="19" t="s">
        <v>41</v>
      </c>
      <c r="S114" s="19" t="s">
        <v>1870</v>
      </c>
    </row>
    <row r="115" spans="1:19" hidden="1" x14ac:dyDescent="0.25">
      <c r="A115" s="28">
        <v>2025001</v>
      </c>
      <c r="B115" s="15" t="s">
        <v>2257</v>
      </c>
      <c r="C115" s="19" t="s">
        <v>12</v>
      </c>
      <c r="D115" s="21" t="s">
        <v>2011</v>
      </c>
      <c r="E115" s="19" t="s">
        <v>1346</v>
      </c>
      <c r="F115" s="19" t="s">
        <v>2258</v>
      </c>
      <c r="G115" s="19" t="s">
        <v>1346</v>
      </c>
      <c r="H115" s="19" t="s">
        <v>951</v>
      </c>
      <c r="I115" s="19"/>
      <c r="J115" s="19" t="s">
        <v>18</v>
      </c>
      <c r="K115" s="19" t="s">
        <v>18</v>
      </c>
      <c r="L115" s="19" t="s">
        <v>18</v>
      </c>
      <c r="M115" s="19" t="s">
        <v>19</v>
      </c>
      <c r="N115" s="19" t="s">
        <v>18</v>
      </c>
      <c r="O115" s="19"/>
      <c r="P115" s="19">
        <v>102.577778</v>
      </c>
      <c r="Q115" s="19">
        <v>2.0513889999999999</v>
      </c>
      <c r="R115" s="19" t="s">
        <v>41</v>
      </c>
      <c r="S115" s="19" t="s">
        <v>2216</v>
      </c>
    </row>
    <row r="116" spans="1:19" hidden="1" x14ac:dyDescent="0.25">
      <c r="A116" s="28">
        <v>2025029</v>
      </c>
      <c r="B116" s="15" t="s">
        <v>2259</v>
      </c>
      <c r="C116" s="19" t="s">
        <v>12</v>
      </c>
      <c r="D116" s="21" t="s">
        <v>2011</v>
      </c>
      <c r="E116" s="19" t="s">
        <v>1346</v>
      </c>
      <c r="F116" s="19" t="s">
        <v>2258</v>
      </c>
      <c r="G116" s="19" t="s">
        <v>1346</v>
      </c>
      <c r="H116" s="19" t="s">
        <v>2260</v>
      </c>
      <c r="I116" s="19" t="s">
        <v>1261</v>
      </c>
      <c r="J116" s="19" t="s">
        <v>19</v>
      </c>
      <c r="K116" s="19" t="s">
        <v>19</v>
      </c>
      <c r="L116" s="19" t="s">
        <v>18</v>
      </c>
      <c r="M116" s="19" t="s">
        <v>19</v>
      </c>
      <c r="N116" s="19" t="s">
        <v>19</v>
      </c>
      <c r="O116" s="19"/>
      <c r="P116" s="19">
        <v>102.579167</v>
      </c>
      <c r="Q116" s="19">
        <v>2.088889</v>
      </c>
      <c r="R116" s="19" t="s">
        <v>164</v>
      </c>
      <c r="S116" s="19" t="s">
        <v>2144</v>
      </c>
    </row>
    <row r="117" spans="1:19" hidden="1" x14ac:dyDescent="0.25">
      <c r="A117" s="28">
        <v>2025030</v>
      </c>
      <c r="B117" s="15" t="s">
        <v>2261</v>
      </c>
      <c r="C117" s="19" t="s">
        <v>12</v>
      </c>
      <c r="D117" s="21" t="s">
        <v>2011</v>
      </c>
      <c r="E117" s="19" t="s">
        <v>1346</v>
      </c>
      <c r="F117" s="19" t="s">
        <v>2258</v>
      </c>
      <c r="G117" s="19" t="s">
        <v>1346</v>
      </c>
      <c r="H117" s="19" t="s">
        <v>301</v>
      </c>
      <c r="I117" s="19" t="s">
        <v>1763</v>
      </c>
      <c r="J117" s="19" t="s">
        <v>19</v>
      </c>
      <c r="K117" s="19" t="s">
        <v>19</v>
      </c>
      <c r="L117" s="19" t="s">
        <v>18</v>
      </c>
      <c r="M117" s="19" t="s">
        <v>19</v>
      </c>
      <c r="N117" s="19" t="s">
        <v>19</v>
      </c>
      <c r="O117" s="19"/>
      <c r="P117" s="19">
        <v>102.577778</v>
      </c>
      <c r="Q117" s="19">
        <v>2.0569440000000001</v>
      </c>
      <c r="R117" s="19" t="s">
        <v>279</v>
      </c>
      <c r="S117" s="19" t="s">
        <v>1870</v>
      </c>
    </row>
    <row r="118" spans="1:19" hidden="1" x14ac:dyDescent="0.25">
      <c r="A118" s="28">
        <v>2025031</v>
      </c>
      <c r="B118" s="15" t="s">
        <v>2262</v>
      </c>
      <c r="C118" s="19" t="s">
        <v>12</v>
      </c>
      <c r="D118" s="21" t="s">
        <v>2011</v>
      </c>
      <c r="E118" s="19" t="s">
        <v>1346</v>
      </c>
      <c r="F118" s="19" t="s">
        <v>2258</v>
      </c>
      <c r="G118" s="19" t="s">
        <v>1346</v>
      </c>
      <c r="H118" s="19" t="s">
        <v>558</v>
      </c>
      <c r="I118" s="19" t="s">
        <v>951</v>
      </c>
      <c r="J118" s="19" t="s">
        <v>19</v>
      </c>
      <c r="K118" s="19" t="s">
        <v>19</v>
      </c>
      <c r="L118" s="19" t="s">
        <v>18</v>
      </c>
      <c r="M118" s="19" t="s">
        <v>19</v>
      </c>
      <c r="N118" s="19" t="s">
        <v>19</v>
      </c>
      <c r="O118" s="19"/>
      <c r="P118" s="19">
        <v>102.575</v>
      </c>
      <c r="Q118" s="19">
        <v>2.0638890000000001</v>
      </c>
      <c r="R118" s="19" t="s">
        <v>41</v>
      </c>
      <c r="S118" s="19" t="s">
        <v>2216</v>
      </c>
    </row>
    <row r="119" spans="1:19" hidden="1" x14ac:dyDescent="0.25">
      <c r="A119" s="28">
        <v>2030001</v>
      </c>
      <c r="B119" s="15" t="s">
        <v>2263</v>
      </c>
      <c r="C119" s="19" t="s">
        <v>12</v>
      </c>
      <c r="D119" s="21" t="s">
        <v>2011</v>
      </c>
      <c r="E119" s="19" t="s">
        <v>2082</v>
      </c>
      <c r="F119" s="19" t="s">
        <v>2264</v>
      </c>
      <c r="G119" s="19" t="s">
        <v>2082</v>
      </c>
      <c r="H119" s="19" t="s">
        <v>2265</v>
      </c>
      <c r="I119" s="19" t="s">
        <v>1758</v>
      </c>
      <c r="J119" s="19" t="s">
        <v>19</v>
      </c>
      <c r="K119" s="19" t="s">
        <v>19</v>
      </c>
      <c r="L119" s="19" t="s">
        <v>18</v>
      </c>
      <c r="M119" s="19" t="s">
        <v>19</v>
      </c>
      <c r="N119" s="19" t="s">
        <v>19</v>
      </c>
      <c r="O119" s="19"/>
      <c r="P119" s="19">
        <v>103.061111</v>
      </c>
      <c r="Q119" s="19">
        <v>2.0222220000000002</v>
      </c>
      <c r="R119" s="19" t="s">
        <v>472</v>
      </c>
      <c r="S119" s="19" t="s">
        <v>1870</v>
      </c>
    </row>
    <row r="120" spans="1:19" hidden="1" x14ac:dyDescent="0.25">
      <c r="A120" s="28">
        <v>2030002</v>
      </c>
      <c r="B120" s="15" t="s">
        <v>2266</v>
      </c>
      <c r="C120" s="19" t="s">
        <v>12</v>
      </c>
      <c r="D120" s="21" t="s">
        <v>2011</v>
      </c>
      <c r="E120" s="19" t="s">
        <v>2082</v>
      </c>
      <c r="F120" s="19" t="s">
        <v>2163</v>
      </c>
      <c r="G120" s="19" t="s">
        <v>2082</v>
      </c>
      <c r="H120" s="19" t="s">
        <v>2267</v>
      </c>
      <c r="I120" s="19" t="s">
        <v>2268</v>
      </c>
      <c r="J120" s="19" t="s">
        <v>19</v>
      </c>
      <c r="K120" s="19" t="s">
        <v>19</v>
      </c>
      <c r="L120" s="19" t="s">
        <v>18</v>
      </c>
      <c r="M120" s="19" t="s">
        <v>19</v>
      </c>
      <c r="N120" s="19" t="s">
        <v>19</v>
      </c>
      <c r="O120" s="19"/>
      <c r="P120" s="19">
        <v>103.05</v>
      </c>
      <c r="Q120" s="19">
        <v>2.0125000000000002</v>
      </c>
      <c r="R120" s="19" t="s">
        <v>164</v>
      </c>
      <c r="S120" s="19" t="s">
        <v>1870</v>
      </c>
    </row>
    <row r="121" spans="1:19" hidden="1" x14ac:dyDescent="0.25">
      <c r="A121" s="28">
        <v>2030070</v>
      </c>
      <c r="B121" s="15" t="s">
        <v>2269</v>
      </c>
      <c r="C121" s="19" t="s">
        <v>12</v>
      </c>
      <c r="D121" s="21" t="s">
        <v>2011</v>
      </c>
      <c r="E121" s="19" t="s">
        <v>2082</v>
      </c>
      <c r="F121" s="19" t="s">
        <v>2270</v>
      </c>
      <c r="G121" s="19" t="s">
        <v>2082</v>
      </c>
      <c r="H121" s="19" t="s">
        <v>2271</v>
      </c>
      <c r="I121" s="19" t="s">
        <v>125</v>
      </c>
      <c r="J121" s="19" t="s">
        <v>19</v>
      </c>
      <c r="K121" s="19" t="s">
        <v>19</v>
      </c>
      <c r="L121" s="19" t="s">
        <v>18</v>
      </c>
      <c r="M121" s="19" t="s">
        <v>19</v>
      </c>
      <c r="N121" s="19" t="s">
        <v>19</v>
      </c>
      <c r="O121" s="19"/>
      <c r="P121" s="19">
        <v>103.056944</v>
      </c>
      <c r="Q121" s="19">
        <v>2.016667</v>
      </c>
      <c r="R121" s="19" t="s">
        <v>164</v>
      </c>
      <c r="S121" s="19" t="s">
        <v>1870</v>
      </c>
    </row>
    <row r="122" spans="1:19" hidden="1" x14ac:dyDescent="0.25">
      <c r="A122" s="28">
        <v>2030071</v>
      </c>
      <c r="B122" s="15" t="s">
        <v>2272</v>
      </c>
      <c r="C122" s="19" t="s">
        <v>12</v>
      </c>
      <c r="D122" s="21" t="s">
        <v>2011</v>
      </c>
      <c r="E122" s="19" t="s">
        <v>2082</v>
      </c>
      <c r="F122" s="19" t="s">
        <v>2264</v>
      </c>
      <c r="G122" s="19" t="s">
        <v>2264</v>
      </c>
      <c r="H122" s="19"/>
      <c r="I122" s="19"/>
      <c r="J122" s="19" t="s">
        <v>19</v>
      </c>
      <c r="K122" s="19" t="s">
        <v>18</v>
      </c>
      <c r="L122" s="19" t="s">
        <v>19</v>
      </c>
      <c r="M122" s="19" t="s">
        <v>18</v>
      </c>
      <c r="N122" s="19" t="s">
        <v>19</v>
      </c>
      <c r="O122" s="19"/>
      <c r="P122" s="19">
        <v>103.063889</v>
      </c>
      <c r="Q122" s="19">
        <v>2.098611</v>
      </c>
      <c r="R122" s="19"/>
      <c r="S122" s="19" t="s">
        <v>1870</v>
      </c>
    </row>
    <row r="123" spans="1:19" hidden="1" x14ac:dyDescent="0.25">
      <c r="A123" s="28">
        <v>2031067</v>
      </c>
      <c r="B123" s="15" t="s">
        <v>2273</v>
      </c>
      <c r="C123" s="19" t="s">
        <v>12</v>
      </c>
      <c r="D123" s="21" t="s">
        <v>2011</v>
      </c>
      <c r="E123" s="19" t="s">
        <v>2082</v>
      </c>
      <c r="F123" s="19" t="s">
        <v>2270</v>
      </c>
      <c r="G123" s="19" t="s">
        <v>2082</v>
      </c>
      <c r="H123" s="19" t="s">
        <v>301</v>
      </c>
      <c r="I123" s="19" t="s">
        <v>2274</v>
      </c>
      <c r="J123" s="19" t="s">
        <v>19</v>
      </c>
      <c r="K123" s="19" t="s">
        <v>19</v>
      </c>
      <c r="L123" s="19" t="s">
        <v>18</v>
      </c>
      <c r="M123" s="19" t="s">
        <v>19</v>
      </c>
      <c r="N123" s="19" t="s">
        <v>19</v>
      </c>
      <c r="O123" s="19"/>
      <c r="P123" s="19">
        <v>103.119444</v>
      </c>
      <c r="Q123" s="19">
        <v>2.0416669999999999</v>
      </c>
      <c r="R123" s="19" t="s">
        <v>20</v>
      </c>
      <c r="S123" s="19" t="s">
        <v>2275</v>
      </c>
    </row>
    <row r="124" spans="1:19" hidden="1" x14ac:dyDescent="0.25">
      <c r="A124" s="28">
        <v>2031069</v>
      </c>
      <c r="B124" s="15" t="s">
        <v>2276</v>
      </c>
      <c r="C124" s="19" t="s">
        <v>12</v>
      </c>
      <c r="D124" s="21" t="s">
        <v>2011</v>
      </c>
      <c r="E124" s="19" t="s">
        <v>2082</v>
      </c>
      <c r="F124" s="19" t="s">
        <v>2270</v>
      </c>
      <c r="G124" s="19" t="s">
        <v>2082</v>
      </c>
      <c r="H124" s="19" t="s">
        <v>1722</v>
      </c>
      <c r="I124" s="19"/>
      <c r="J124" s="19" t="s">
        <v>18</v>
      </c>
      <c r="K124" s="19" t="s">
        <v>18</v>
      </c>
      <c r="L124" s="19" t="s">
        <v>18</v>
      </c>
      <c r="M124" s="19" t="s">
        <v>19</v>
      </c>
      <c r="N124" s="19" t="s">
        <v>19</v>
      </c>
      <c r="O124" s="19"/>
      <c r="P124" s="19">
        <v>103.152778</v>
      </c>
      <c r="Q124" s="19">
        <v>2.0708329999999999</v>
      </c>
      <c r="R124" s="19" t="s">
        <v>20</v>
      </c>
      <c r="S124" s="19" t="s">
        <v>2277</v>
      </c>
    </row>
    <row r="125" spans="1:19" hidden="1" x14ac:dyDescent="0.25">
      <c r="A125" s="28">
        <v>2031069</v>
      </c>
      <c r="B125" s="15" t="s">
        <v>2278</v>
      </c>
      <c r="C125" s="19" t="s">
        <v>12</v>
      </c>
      <c r="D125" s="21" t="s">
        <v>2011</v>
      </c>
      <c r="E125" s="19" t="s">
        <v>2082</v>
      </c>
      <c r="F125" s="19" t="s">
        <v>2233</v>
      </c>
      <c r="G125" s="19" t="s">
        <v>2233</v>
      </c>
      <c r="H125" s="19"/>
      <c r="I125" s="19"/>
      <c r="J125" s="19" t="s">
        <v>19</v>
      </c>
      <c r="K125" s="19" t="s">
        <v>18</v>
      </c>
      <c r="L125" s="19" t="s">
        <v>19</v>
      </c>
      <c r="M125" s="19" t="s">
        <v>18</v>
      </c>
      <c r="N125" s="19" t="s">
        <v>19</v>
      </c>
      <c r="O125" s="19"/>
      <c r="P125" s="19">
        <v>103.156389</v>
      </c>
      <c r="Q125" s="19">
        <v>2.0716670000000001</v>
      </c>
      <c r="R125" s="19"/>
      <c r="S125" s="19" t="s">
        <v>1870</v>
      </c>
    </row>
    <row r="126" spans="1:19" hidden="1" x14ac:dyDescent="0.25">
      <c r="A126" s="28">
        <v>2032071</v>
      </c>
      <c r="B126" s="15" t="s">
        <v>2279</v>
      </c>
      <c r="C126" s="19" t="s">
        <v>12</v>
      </c>
      <c r="D126" s="21" t="s">
        <v>2011</v>
      </c>
      <c r="E126" s="19" t="s">
        <v>2140</v>
      </c>
      <c r="F126" s="19" t="s">
        <v>2181</v>
      </c>
      <c r="G126" s="19" t="s">
        <v>2082</v>
      </c>
      <c r="H126" s="19" t="s">
        <v>935</v>
      </c>
      <c r="I126" s="19"/>
      <c r="J126" s="19" t="s">
        <v>18</v>
      </c>
      <c r="K126" s="19" t="s">
        <v>18</v>
      </c>
      <c r="L126" s="19" t="s">
        <v>18</v>
      </c>
      <c r="M126" s="19" t="s">
        <v>19</v>
      </c>
      <c r="N126" s="19" t="s">
        <v>19</v>
      </c>
      <c r="O126" s="19"/>
      <c r="P126" s="19">
        <v>103.270833</v>
      </c>
      <c r="Q126" s="19">
        <v>2.026389</v>
      </c>
      <c r="R126" s="19" t="s">
        <v>20</v>
      </c>
      <c r="S126" s="19" t="s">
        <v>1870</v>
      </c>
    </row>
    <row r="127" spans="1:19" hidden="1" x14ac:dyDescent="0.25">
      <c r="A127" s="28">
        <v>2033001</v>
      </c>
      <c r="B127" s="15" t="s">
        <v>2280</v>
      </c>
      <c r="C127" s="19" t="s">
        <v>12</v>
      </c>
      <c r="D127" s="21" t="s">
        <v>2011</v>
      </c>
      <c r="E127" s="19" t="s">
        <v>2140</v>
      </c>
      <c r="F127" s="19" t="s">
        <v>2281</v>
      </c>
      <c r="G127" s="19" t="s">
        <v>1430</v>
      </c>
      <c r="H127" s="19" t="s">
        <v>1473</v>
      </c>
      <c r="I127" s="19" t="s">
        <v>2282</v>
      </c>
      <c r="J127" s="19" t="s">
        <v>19</v>
      </c>
      <c r="K127" s="19" t="s">
        <v>19</v>
      </c>
      <c r="L127" s="19" t="s">
        <v>19</v>
      </c>
      <c r="M127" s="19" t="s">
        <v>19</v>
      </c>
      <c r="N127" s="19" t="s">
        <v>18</v>
      </c>
      <c r="O127" s="19"/>
      <c r="P127" s="19">
        <v>103.325</v>
      </c>
      <c r="Q127" s="19">
        <v>2.019444</v>
      </c>
      <c r="R127" s="19" t="s">
        <v>41</v>
      </c>
      <c r="S127" s="19" t="s">
        <v>1870</v>
      </c>
    </row>
    <row r="128" spans="1:19" hidden="1" x14ac:dyDescent="0.25">
      <c r="A128" s="28">
        <v>2033002</v>
      </c>
      <c r="B128" s="15" t="s">
        <v>2283</v>
      </c>
      <c r="C128" s="19" t="s">
        <v>12</v>
      </c>
      <c r="D128" s="21" t="s">
        <v>2011</v>
      </c>
      <c r="E128" s="19" t="s">
        <v>2140</v>
      </c>
      <c r="F128" s="19" t="s">
        <v>2284</v>
      </c>
      <c r="G128" s="19" t="s">
        <v>2011</v>
      </c>
      <c r="H128" s="19" t="s">
        <v>2285</v>
      </c>
      <c r="I128" s="19"/>
      <c r="J128" s="19" t="s">
        <v>18</v>
      </c>
      <c r="K128" s="19" t="s">
        <v>18</v>
      </c>
      <c r="L128" s="19" t="s">
        <v>18</v>
      </c>
      <c r="M128" s="19" t="s">
        <v>19</v>
      </c>
      <c r="N128" s="19" t="s">
        <v>18</v>
      </c>
      <c r="O128" s="19"/>
      <c r="P128" s="19">
        <v>103.32250000000001</v>
      </c>
      <c r="Q128" s="19">
        <v>2.0383330000000002</v>
      </c>
      <c r="R128" s="19" t="s">
        <v>41</v>
      </c>
      <c r="S128" s="19" t="s">
        <v>1870</v>
      </c>
    </row>
    <row r="129" spans="1:19" hidden="1" x14ac:dyDescent="0.25">
      <c r="A129" s="28">
        <v>2033152</v>
      </c>
      <c r="B129" s="15" t="s">
        <v>2286</v>
      </c>
      <c r="C129" s="19" t="s">
        <v>12</v>
      </c>
      <c r="D129" s="21" t="s">
        <v>2011</v>
      </c>
      <c r="E129" s="19" t="s">
        <v>2140</v>
      </c>
      <c r="F129" s="19" t="s">
        <v>2281</v>
      </c>
      <c r="G129" s="19" t="s">
        <v>1430</v>
      </c>
      <c r="H129" s="19" t="s">
        <v>666</v>
      </c>
      <c r="I129" s="19"/>
      <c r="J129" s="19" t="s">
        <v>18</v>
      </c>
      <c r="K129" s="19" t="s">
        <v>18</v>
      </c>
      <c r="L129" s="19" t="s">
        <v>18</v>
      </c>
      <c r="M129" s="19" t="s">
        <v>19</v>
      </c>
      <c r="N129" s="19" t="s">
        <v>19</v>
      </c>
      <c r="O129" s="19"/>
      <c r="P129" s="19">
        <v>103.3</v>
      </c>
      <c r="Q129" s="19">
        <v>2.0069439999999998</v>
      </c>
      <c r="R129" s="19" t="s">
        <v>20</v>
      </c>
      <c r="S129" s="19" t="s">
        <v>1870</v>
      </c>
    </row>
    <row r="130" spans="1:19" hidden="1" x14ac:dyDescent="0.25">
      <c r="A130" s="28">
        <v>2033153</v>
      </c>
      <c r="B130" s="15" t="s">
        <v>2287</v>
      </c>
      <c r="C130" s="19" t="s">
        <v>12</v>
      </c>
      <c r="D130" s="21" t="s">
        <v>2011</v>
      </c>
      <c r="E130" s="19" t="s">
        <v>2140</v>
      </c>
      <c r="F130" s="19" t="s">
        <v>2281</v>
      </c>
      <c r="G130" s="19" t="s">
        <v>1430</v>
      </c>
      <c r="H130" s="19" t="s">
        <v>242</v>
      </c>
      <c r="I130" s="19" t="s">
        <v>1473</v>
      </c>
      <c r="J130" s="19" t="s">
        <v>19</v>
      </c>
      <c r="K130" s="19" t="s">
        <v>19</v>
      </c>
      <c r="L130" s="19" t="s">
        <v>19</v>
      </c>
      <c r="M130" s="19" t="s">
        <v>19</v>
      </c>
      <c r="N130" s="19" t="s">
        <v>18</v>
      </c>
      <c r="O130" s="19"/>
      <c r="P130" s="19">
        <v>103.319444</v>
      </c>
      <c r="Q130" s="19">
        <v>2.0222220000000002</v>
      </c>
      <c r="R130" s="19" t="s">
        <v>41</v>
      </c>
      <c r="S130" s="19" t="s">
        <v>2288</v>
      </c>
    </row>
    <row r="131" spans="1:19" hidden="1" x14ac:dyDescent="0.25">
      <c r="A131" s="28">
        <v>2033155</v>
      </c>
      <c r="B131" s="15" t="s">
        <v>2289</v>
      </c>
      <c r="C131" s="19" t="s">
        <v>12</v>
      </c>
      <c r="D131" s="21" t="s">
        <v>2011</v>
      </c>
      <c r="E131" s="19" t="s">
        <v>2140</v>
      </c>
      <c r="F131" s="19" t="s">
        <v>2246</v>
      </c>
      <c r="G131" s="19" t="s">
        <v>2090</v>
      </c>
      <c r="H131" s="19" t="s">
        <v>943</v>
      </c>
      <c r="I131" s="19" t="s">
        <v>326</v>
      </c>
      <c r="J131" s="19" t="s">
        <v>19</v>
      </c>
      <c r="K131" s="19" t="s">
        <v>19</v>
      </c>
      <c r="L131" s="19" t="s">
        <v>18</v>
      </c>
      <c r="M131" s="19" t="s">
        <v>19</v>
      </c>
      <c r="N131" s="19" t="s">
        <v>19</v>
      </c>
      <c r="O131" s="19"/>
      <c r="P131" s="19">
        <v>103.38333299999999</v>
      </c>
      <c r="Q131" s="19">
        <v>2.0763889999999998</v>
      </c>
      <c r="R131" s="19" t="s">
        <v>20</v>
      </c>
      <c r="S131" s="19" t="s">
        <v>2290</v>
      </c>
    </row>
    <row r="132" spans="1:19" hidden="1" x14ac:dyDescent="0.25">
      <c r="A132" s="28">
        <v>2034001</v>
      </c>
      <c r="B132" s="15" t="s">
        <v>2291</v>
      </c>
      <c r="C132" s="19" t="s">
        <v>12</v>
      </c>
      <c r="D132" s="21" t="s">
        <v>2011</v>
      </c>
      <c r="E132" s="19" t="s">
        <v>2292</v>
      </c>
      <c r="F132" s="19" t="s">
        <v>2293</v>
      </c>
      <c r="G132" s="19" t="s">
        <v>1430</v>
      </c>
      <c r="H132" s="19" t="s">
        <v>1268</v>
      </c>
      <c r="I132" s="19"/>
      <c r="J132" s="19" t="s">
        <v>18</v>
      </c>
      <c r="K132" s="19" t="s">
        <v>18</v>
      </c>
      <c r="L132" s="19" t="s">
        <v>18</v>
      </c>
      <c r="M132" s="19" t="s">
        <v>19</v>
      </c>
      <c r="N132" s="19" t="s">
        <v>19</v>
      </c>
      <c r="O132" s="19"/>
      <c r="P132" s="19">
        <v>103.419444</v>
      </c>
      <c r="Q132" s="19">
        <v>2.0347219999999999</v>
      </c>
      <c r="R132" s="19" t="s">
        <v>421</v>
      </c>
      <c r="S132" s="19" t="s">
        <v>1870</v>
      </c>
    </row>
    <row r="133" spans="1:19" hidden="1" x14ac:dyDescent="0.25">
      <c r="A133" s="28">
        <v>2037001</v>
      </c>
      <c r="B133" s="15" t="s">
        <v>2294</v>
      </c>
      <c r="C133" s="19" t="s">
        <v>12</v>
      </c>
      <c r="D133" s="21" t="s">
        <v>2011</v>
      </c>
      <c r="E133" s="19" t="s">
        <v>2028</v>
      </c>
      <c r="F133" s="19" t="s">
        <v>2146</v>
      </c>
      <c r="G133" s="19" t="s">
        <v>2011</v>
      </c>
      <c r="H133" s="19" t="s">
        <v>2295</v>
      </c>
      <c r="I133" s="19" t="s">
        <v>2296</v>
      </c>
      <c r="J133" s="19" t="s">
        <v>19</v>
      </c>
      <c r="K133" s="19" t="s">
        <v>19</v>
      </c>
      <c r="L133" s="19" t="s">
        <v>18</v>
      </c>
      <c r="M133" s="19" t="s">
        <v>19</v>
      </c>
      <c r="N133" s="19" t="s">
        <v>19</v>
      </c>
      <c r="O133" s="19"/>
      <c r="P133" s="19">
        <v>103.75</v>
      </c>
      <c r="Q133" s="19">
        <v>2.0388890000000002</v>
      </c>
      <c r="R133" s="19" t="s">
        <v>41</v>
      </c>
      <c r="S133" s="19" t="s">
        <v>1870</v>
      </c>
    </row>
    <row r="134" spans="1:19" hidden="1" x14ac:dyDescent="0.25">
      <c r="A134" s="28">
        <v>2037191</v>
      </c>
      <c r="B134" s="15" t="s">
        <v>2294</v>
      </c>
      <c r="C134" s="19" t="s">
        <v>12</v>
      </c>
      <c r="D134" s="21" t="s">
        <v>2011</v>
      </c>
      <c r="E134" s="19" t="s">
        <v>2028</v>
      </c>
      <c r="F134" s="19" t="s">
        <v>2146</v>
      </c>
      <c r="G134" s="19" t="s">
        <v>2011</v>
      </c>
      <c r="H134" s="19" t="s">
        <v>2143</v>
      </c>
      <c r="I134" s="19" t="s">
        <v>2295</v>
      </c>
      <c r="J134" s="19" t="s">
        <v>19</v>
      </c>
      <c r="K134" s="19" t="s">
        <v>19</v>
      </c>
      <c r="L134" s="19" t="s">
        <v>18</v>
      </c>
      <c r="M134" s="19" t="s">
        <v>19</v>
      </c>
      <c r="N134" s="19" t="s">
        <v>19</v>
      </c>
      <c r="O134" s="19"/>
      <c r="P134" s="19">
        <v>103.75277800000001</v>
      </c>
      <c r="Q134" s="19">
        <v>2.026389</v>
      </c>
      <c r="R134" s="19" t="s">
        <v>41</v>
      </c>
      <c r="S134" s="19" t="s">
        <v>2110</v>
      </c>
    </row>
    <row r="135" spans="1:19" hidden="1" x14ac:dyDescent="0.25">
      <c r="A135" s="28">
        <v>2038001</v>
      </c>
      <c r="B135" s="15" t="s">
        <v>2297</v>
      </c>
      <c r="C135" s="19" t="s">
        <v>12</v>
      </c>
      <c r="D135" s="21" t="s">
        <v>2011</v>
      </c>
      <c r="E135" s="19" t="s">
        <v>2292</v>
      </c>
      <c r="F135" s="19" t="s">
        <v>2298</v>
      </c>
      <c r="G135" s="19" t="s">
        <v>2206</v>
      </c>
      <c r="H135" s="19" t="s">
        <v>2299</v>
      </c>
      <c r="I135" s="19"/>
      <c r="J135" s="19" t="s">
        <v>18</v>
      </c>
      <c r="K135" s="19" t="s">
        <v>18</v>
      </c>
      <c r="L135" s="19" t="s">
        <v>18</v>
      </c>
      <c r="M135" s="19" t="s">
        <v>19</v>
      </c>
      <c r="N135" s="19" t="s">
        <v>19</v>
      </c>
      <c r="O135" s="19"/>
      <c r="P135" s="19">
        <v>103.87222199999999</v>
      </c>
      <c r="Q135" s="19">
        <v>2.0041669999999998</v>
      </c>
      <c r="R135" s="19" t="s">
        <v>41</v>
      </c>
      <c r="S135" s="19" t="s">
        <v>1870</v>
      </c>
    </row>
    <row r="136" spans="1:19" hidden="1" x14ac:dyDescent="0.25">
      <c r="A136" s="28">
        <v>2038001</v>
      </c>
      <c r="B136" s="15" t="s">
        <v>2300</v>
      </c>
      <c r="C136" s="19" t="s">
        <v>12</v>
      </c>
      <c r="D136" s="21" t="s">
        <v>2011</v>
      </c>
      <c r="E136" s="19" t="s">
        <v>2028</v>
      </c>
      <c r="F136" s="19" t="s">
        <v>2301</v>
      </c>
      <c r="G136" s="19" t="s">
        <v>2301</v>
      </c>
      <c r="H136" s="19"/>
      <c r="I136" s="19"/>
      <c r="J136" s="19" t="s">
        <v>19</v>
      </c>
      <c r="K136" s="19" t="s">
        <v>18</v>
      </c>
      <c r="L136" s="19" t="s">
        <v>19</v>
      </c>
      <c r="M136" s="19" t="s">
        <v>18</v>
      </c>
      <c r="N136" s="19" t="s">
        <v>19</v>
      </c>
      <c r="O136" s="19"/>
      <c r="P136" s="19">
        <v>103.879167</v>
      </c>
      <c r="Q136" s="19">
        <v>2.0024999999999999</v>
      </c>
      <c r="R136" s="19"/>
      <c r="S136" s="19" t="s">
        <v>1870</v>
      </c>
    </row>
    <row r="137" spans="1:19" hidden="1" x14ac:dyDescent="0.25">
      <c r="A137" s="28">
        <v>2038002</v>
      </c>
      <c r="B137" s="15" t="s">
        <v>2302</v>
      </c>
      <c r="C137" s="19" t="s">
        <v>12</v>
      </c>
      <c r="D137" s="21" t="s">
        <v>2011</v>
      </c>
      <c r="E137" s="19" t="s">
        <v>2292</v>
      </c>
      <c r="F137" s="19" t="s">
        <v>2303</v>
      </c>
      <c r="G137" s="19" t="s">
        <v>2206</v>
      </c>
      <c r="H137" s="19" t="s">
        <v>1758</v>
      </c>
      <c r="I137" s="19" t="s">
        <v>1432</v>
      </c>
      <c r="J137" s="19" t="s">
        <v>19</v>
      </c>
      <c r="K137" s="19" t="s">
        <v>19</v>
      </c>
      <c r="L137" s="19" t="s">
        <v>18</v>
      </c>
      <c r="M137" s="19" t="s">
        <v>19</v>
      </c>
      <c r="N137" s="19" t="s">
        <v>19</v>
      </c>
      <c r="O137" s="19"/>
      <c r="P137" s="19">
        <v>103.893056</v>
      </c>
      <c r="Q137" s="19">
        <v>2.0874999999999999</v>
      </c>
      <c r="R137" s="19" t="s">
        <v>421</v>
      </c>
      <c r="S137" s="19" t="s">
        <v>1870</v>
      </c>
    </row>
    <row r="138" spans="1:19" hidden="1" x14ac:dyDescent="0.25">
      <c r="A138" s="28">
        <v>2123024</v>
      </c>
      <c r="B138" s="15" t="s">
        <v>1243</v>
      </c>
      <c r="C138" s="19" t="s">
        <v>12</v>
      </c>
      <c r="D138" s="21" t="s">
        <v>1244</v>
      </c>
      <c r="E138" s="19" t="s">
        <v>1245</v>
      </c>
      <c r="F138" s="19" t="s">
        <v>590</v>
      </c>
      <c r="G138" s="19" t="s">
        <v>1244</v>
      </c>
      <c r="H138" s="19" t="s">
        <v>1246</v>
      </c>
      <c r="I138" s="19" t="s">
        <v>1247</v>
      </c>
      <c r="J138" s="19" t="s">
        <v>19</v>
      </c>
      <c r="K138" s="19" t="s">
        <v>19</v>
      </c>
      <c r="L138" s="19" t="s">
        <v>18</v>
      </c>
      <c r="M138" s="19" t="s">
        <v>19</v>
      </c>
      <c r="N138" s="19" t="s">
        <v>19</v>
      </c>
      <c r="O138" s="19" t="s">
        <v>19</v>
      </c>
      <c r="P138" s="19">
        <v>102.333333</v>
      </c>
      <c r="Q138" s="19">
        <v>2.1124999999999998</v>
      </c>
      <c r="R138" s="19"/>
      <c r="S138" s="19" t="s">
        <v>544</v>
      </c>
    </row>
    <row r="139" spans="1:19" hidden="1" x14ac:dyDescent="0.25">
      <c r="A139" s="28">
        <v>2124037</v>
      </c>
      <c r="B139" s="15" t="s">
        <v>1248</v>
      </c>
      <c r="C139" s="19" t="s">
        <v>12</v>
      </c>
      <c r="D139" s="21" t="s">
        <v>1244</v>
      </c>
      <c r="E139" s="19" t="s">
        <v>1249</v>
      </c>
      <c r="F139" s="19" t="s">
        <v>1250</v>
      </c>
      <c r="G139" s="19" t="s">
        <v>1251</v>
      </c>
      <c r="H139" s="19" t="s">
        <v>538</v>
      </c>
      <c r="I139" s="19"/>
      <c r="J139" s="19" t="s">
        <v>18</v>
      </c>
      <c r="K139" s="19" t="s">
        <v>18</v>
      </c>
      <c r="L139" s="19" t="s">
        <v>18</v>
      </c>
      <c r="M139" s="19" t="s">
        <v>19</v>
      </c>
      <c r="N139" s="19" t="s">
        <v>18</v>
      </c>
      <c r="O139" s="19" t="s">
        <v>19</v>
      </c>
      <c r="P139" s="19">
        <v>102.430556</v>
      </c>
      <c r="Q139" s="19">
        <v>2.1486109999999998</v>
      </c>
      <c r="R139" s="19"/>
      <c r="S139" s="19" t="s">
        <v>41</v>
      </c>
    </row>
    <row r="140" spans="1:19" hidden="1" x14ac:dyDescent="0.25">
      <c r="A140" s="28">
        <v>2125001</v>
      </c>
      <c r="B140" s="15" t="s">
        <v>2304</v>
      </c>
      <c r="C140" s="19" t="s">
        <v>12</v>
      </c>
      <c r="D140" s="21" t="s">
        <v>2011</v>
      </c>
      <c r="E140" s="19" t="s">
        <v>1346</v>
      </c>
      <c r="F140" s="19" t="s">
        <v>1250</v>
      </c>
      <c r="G140" s="19" t="s">
        <v>1251</v>
      </c>
      <c r="H140" s="19" t="s">
        <v>2305</v>
      </c>
      <c r="I140" s="19"/>
      <c r="J140" s="19" t="s">
        <v>18</v>
      </c>
      <c r="K140" s="19" t="s">
        <v>18</v>
      </c>
      <c r="L140" s="19" t="s">
        <v>18</v>
      </c>
      <c r="M140" s="19" t="s">
        <v>19</v>
      </c>
      <c r="N140" s="19" t="s">
        <v>18</v>
      </c>
      <c r="O140" s="19"/>
      <c r="P140" s="19">
        <v>102.505556</v>
      </c>
      <c r="Q140" s="19">
        <v>2.125</v>
      </c>
      <c r="R140" s="19" t="s">
        <v>41</v>
      </c>
      <c r="S140" s="19" t="s">
        <v>2091</v>
      </c>
    </row>
    <row r="141" spans="1:19" hidden="1" x14ac:dyDescent="0.25">
      <c r="A141" s="28">
        <v>2125002</v>
      </c>
      <c r="B141" s="15" t="s">
        <v>1252</v>
      </c>
      <c r="C141" s="19" t="s">
        <v>12</v>
      </c>
      <c r="D141" s="21" t="s">
        <v>1244</v>
      </c>
      <c r="E141" s="19" t="s">
        <v>1249</v>
      </c>
      <c r="F141" s="19" t="s">
        <v>1250</v>
      </c>
      <c r="G141" s="19" t="s">
        <v>1251</v>
      </c>
      <c r="H141" s="19" t="s">
        <v>23</v>
      </c>
      <c r="I141" s="19"/>
      <c r="J141" s="19" t="s">
        <v>18</v>
      </c>
      <c r="K141" s="19" t="s">
        <v>18</v>
      </c>
      <c r="L141" s="19" t="s">
        <v>18</v>
      </c>
      <c r="M141" s="19" t="s">
        <v>19</v>
      </c>
      <c r="N141" s="19" t="s">
        <v>18</v>
      </c>
      <c r="O141" s="19" t="s">
        <v>19</v>
      </c>
      <c r="P141" s="19">
        <v>102.501389</v>
      </c>
      <c r="Q141" s="19">
        <v>2.1749999999999998</v>
      </c>
      <c r="R141" s="19"/>
      <c r="S141" s="19" t="s">
        <v>41</v>
      </c>
    </row>
    <row r="142" spans="1:19" hidden="1" x14ac:dyDescent="0.25">
      <c r="A142" s="28">
        <v>2125028</v>
      </c>
      <c r="B142" s="15" t="s">
        <v>2306</v>
      </c>
      <c r="C142" s="19" t="s">
        <v>12</v>
      </c>
      <c r="D142" s="21" t="s">
        <v>2011</v>
      </c>
      <c r="E142" s="19" t="s">
        <v>1346</v>
      </c>
      <c r="F142" s="19" t="s">
        <v>2258</v>
      </c>
      <c r="G142" s="19" t="s">
        <v>1346</v>
      </c>
      <c r="H142" s="19" t="s">
        <v>1494</v>
      </c>
      <c r="I142" s="19"/>
      <c r="J142" s="19" t="s">
        <v>18</v>
      </c>
      <c r="K142" s="19" t="s">
        <v>18</v>
      </c>
      <c r="L142" s="19" t="s">
        <v>18</v>
      </c>
      <c r="M142" s="19" t="s">
        <v>19</v>
      </c>
      <c r="N142" s="19" t="s">
        <v>18</v>
      </c>
      <c r="O142" s="19"/>
      <c r="P142" s="19">
        <v>102.566667</v>
      </c>
      <c r="Q142" s="19">
        <v>2.1458330000000001</v>
      </c>
      <c r="R142" s="19" t="s">
        <v>41</v>
      </c>
      <c r="S142" s="19" t="s">
        <v>2216</v>
      </c>
    </row>
    <row r="143" spans="1:19" hidden="1" x14ac:dyDescent="0.25">
      <c r="A143" s="28">
        <v>2125041</v>
      </c>
      <c r="B143" s="15" t="s">
        <v>2307</v>
      </c>
      <c r="C143" s="19" t="s">
        <v>12</v>
      </c>
      <c r="D143" s="21" t="s">
        <v>2011</v>
      </c>
      <c r="E143" s="19" t="s">
        <v>1346</v>
      </c>
      <c r="F143" s="19" t="s">
        <v>2258</v>
      </c>
      <c r="G143" s="19" t="s">
        <v>1346</v>
      </c>
      <c r="H143" s="19" t="s">
        <v>536</v>
      </c>
      <c r="I143" s="19"/>
      <c r="J143" s="19" t="s">
        <v>18</v>
      </c>
      <c r="K143" s="19" t="s">
        <v>18</v>
      </c>
      <c r="L143" s="19" t="s">
        <v>18</v>
      </c>
      <c r="M143" s="19" t="s">
        <v>19</v>
      </c>
      <c r="N143" s="19" t="s">
        <v>18</v>
      </c>
      <c r="O143" s="19"/>
      <c r="P143" s="19">
        <v>102.506944</v>
      </c>
      <c r="Q143" s="19">
        <v>2.1749999999999998</v>
      </c>
      <c r="R143" s="19" t="s">
        <v>41</v>
      </c>
      <c r="S143" s="19" t="s">
        <v>2308</v>
      </c>
    </row>
    <row r="144" spans="1:19" hidden="1" x14ac:dyDescent="0.25">
      <c r="A144" s="28">
        <v>2125042</v>
      </c>
      <c r="B144" s="15" t="s">
        <v>2309</v>
      </c>
      <c r="C144" s="19" t="s">
        <v>12</v>
      </c>
      <c r="D144" s="21" t="s">
        <v>2011</v>
      </c>
      <c r="E144" s="19" t="s">
        <v>1346</v>
      </c>
      <c r="F144" s="19" t="s">
        <v>2310</v>
      </c>
      <c r="G144" s="19" t="s">
        <v>1251</v>
      </c>
      <c r="H144" s="19" t="s">
        <v>2311</v>
      </c>
      <c r="I144" s="19" t="s">
        <v>864</v>
      </c>
      <c r="J144" s="19" t="s">
        <v>19</v>
      </c>
      <c r="K144" s="19" t="s">
        <v>19</v>
      </c>
      <c r="L144" s="19" t="s">
        <v>18</v>
      </c>
      <c r="M144" s="19" t="s">
        <v>19</v>
      </c>
      <c r="N144" s="19" t="s">
        <v>19</v>
      </c>
      <c r="O144" s="19"/>
      <c r="P144" s="19">
        <v>102.538889</v>
      </c>
      <c r="Q144" s="19">
        <v>2.151389</v>
      </c>
      <c r="R144" s="19" t="s">
        <v>41</v>
      </c>
      <c r="S144" s="19" t="s">
        <v>1870</v>
      </c>
    </row>
    <row r="145" spans="1:19" hidden="1" x14ac:dyDescent="0.25">
      <c r="A145" s="28">
        <v>2126024</v>
      </c>
      <c r="B145" s="15" t="s">
        <v>2312</v>
      </c>
      <c r="C145" s="19" t="s">
        <v>12</v>
      </c>
      <c r="D145" s="21" t="s">
        <v>2011</v>
      </c>
      <c r="E145" s="19" t="s">
        <v>1346</v>
      </c>
      <c r="F145" s="19" t="s">
        <v>2258</v>
      </c>
      <c r="G145" s="19" t="s">
        <v>1346</v>
      </c>
      <c r="H145" s="19" t="s">
        <v>1284</v>
      </c>
      <c r="I145" s="19" t="s">
        <v>2313</v>
      </c>
      <c r="J145" s="19" t="s">
        <v>19</v>
      </c>
      <c r="K145" s="19" t="s">
        <v>19</v>
      </c>
      <c r="L145" s="19" t="s">
        <v>18</v>
      </c>
      <c r="M145" s="19" t="s">
        <v>19</v>
      </c>
      <c r="N145" s="19" t="s">
        <v>19</v>
      </c>
      <c r="O145" s="19"/>
      <c r="P145" s="19">
        <v>102.656944</v>
      </c>
      <c r="Q145" s="19">
        <v>2.1541670000000002</v>
      </c>
      <c r="R145" s="19" t="s">
        <v>20</v>
      </c>
      <c r="S145" s="19" t="s">
        <v>1870</v>
      </c>
    </row>
    <row r="146" spans="1:19" hidden="1" x14ac:dyDescent="0.25">
      <c r="A146" s="28">
        <v>2127017</v>
      </c>
      <c r="B146" s="15" t="s">
        <v>2314</v>
      </c>
      <c r="C146" s="19" t="s">
        <v>12</v>
      </c>
      <c r="D146" s="21" t="s">
        <v>2011</v>
      </c>
      <c r="E146" s="19" t="s">
        <v>1346</v>
      </c>
      <c r="F146" s="19" t="s">
        <v>2258</v>
      </c>
      <c r="G146" s="19" t="s">
        <v>1346</v>
      </c>
      <c r="H146" s="19" t="s">
        <v>558</v>
      </c>
      <c r="I146" s="19"/>
      <c r="J146" s="19" t="s">
        <v>18</v>
      </c>
      <c r="K146" s="19" t="s">
        <v>18</v>
      </c>
      <c r="L146" s="19" t="s">
        <v>18</v>
      </c>
      <c r="M146" s="19" t="s">
        <v>19</v>
      </c>
      <c r="N146" s="19" t="s">
        <v>18</v>
      </c>
      <c r="O146" s="19"/>
      <c r="P146" s="19">
        <v>102.788889</v>
      </c>
      <c r="Q146" s="19">
        <v>2.170833</v>
      </c>
      <c r="R146" s="19" t="s">
        <v>20</v>
      </c>
      <c r="S146" s="19" t="s">
        <v>2315</v>
      </c>
    </row>
    <row r="147" spans="1:19" hidden="1" x14ac:dyDescent="0.25">
      <c r="A147" s="28">
        <v>2127018</v>
      </c>
      <c r="B147" s="15" t="s">
        <v>2316</v>
      </c>
      <c r="C147" s="19" t="s">
        <v>12</v>
      </c>
      <c r="D147" s="21" t="s">
        <v>2011</v>
      </c>
      <c r="E147" s="19" t="s">
        <v>1346</v>
      </c>
      <c r="F147" s="19" t="s">
        <v>2258</v>
      </c>
      <c r="G147" s="19" t="s">
        <v>1346</v>
      </c>
      <c r="H147" s="19" t="s">
        <v>805</v>
      </c>
      <c r="I147" s="19"/>
      <c r="J147" s="19" t="s">
        <v>18</v>
      </c>
      <c r="K147" s="19" t="s">
        <v>18</v>
      </c>
      <c r="L147" s="19" t="s">
        <v>18</v>
      </c>
      <c r="M147" s="19" t="s">
        <v>19</v>
      </c>
      <c r="N147" s="19" t="s">
        <v>18</v>
      </c>
      <c r="O147" s="19"/>
      <c r="P147" s="19">
        <v>102.79305600000001</v>
      </c>
      <c r="Q147" s="19">
        <v>2.1472220000000002</v>
      </c>
      <c r="R147" s="19" t="s">
        <v>20</v>
      </c>
      <c r="S147" s="19" t="s">
        <v>2238</v>
      </c>
    </row>
    <row r="148" spans="1:19" hidden="1" x14ac:dyDescent="0.25">
      <c r="A148" s="28">
        <v>2127025</v>
      </c>
      <c r="B148" s="15" t="s">
        <v>2317</v>
      </c>
      <c r="C148" s="19" t="s">
        <v>12</v>
      </c>
      <c r="D148" s="21" t="s">
        <v>2011</v>
      </c>
      <c r="E148" s="19" t="s">
        <v>1346</v>
      </c>
      <c r="F148" s="19" t="s">
        <v>2258</v>
      </c>
      <c r="G148" s="19" t="s">
        <v>1346</v>
      </c>
      <c r="H148" s="19" t="s">
        <v>1378</v>
      </c>
      <c r="I148" s="19" t="s">
        <v>2122</v>
      </c>
      <c r="J148" s="19" t="s">
        <v>19</v>
      </c>
      <c r="K148" s="19" t="s">
        <v>19</v>
      </c>
      <c r="L148" s="19" t="s">
        <v>18</v>
      </c>
      <c r="M148" s="19" t="s">
        <v>19</v>
      </c>
      <c r="N148" s="19" t="s">
        <v>19</v>
      </c>
      <c r="O148" s="19"/>
      <c r="P148" s="19">
        <v>102.7</v>
      </c>
      <c r="Q148" s="19">
        <v>2.1222219999999998</v>
      </c>
      <c r="R148" s="19" t="s">
        <v>164</v>
      </c>
      <c r="S148" s="19" t="s">
        <v>2318</v>
      </c>
    </row>
    <row r="149" spans="1:19" hidden="1" x14ac:dyDescent="0.25">
      <c r="A149" s="28">
        <v>2130001</v>
      </c>
      <c r="B149" s="15" t="s">
        <v>2319</v>
      </c>
      <c r="C149" s="19" t="s">
        <v>12</v>
      </c>
      <c r="D149" s="21" t="s">
        <v>2011</v>
      </c>
      <c r="E149" s="19" t="s">
        <v>2320</v>
      </c>
      <c r="F149" s="19" t="s">
        <v>2321</v>
      </c>
      <c r="G149" s="19" t="s">
        <v>2082</v>
      </c>
      <c r="H149" s="19" t="s">
        <v>152</v>
      </c>
      <c r="I149" s="19"/>
      <c r="J149" s="19" t="s">
        <v>18</v>
      </c>
      <c r="K149" s="19" t="s">
        <v>18</v>
      </c>
      <c r="L149" s="19" t="s">
        <v>18</v>
      </c>
      <c r="M149" s="19" t="s">
        <v>19</v>
      </c>
      <c r="N149" s="19" t="s">
        <v>18</v>
      </c>
      <c r="O149" s="19"/>
      <c r="P149" s="19">
        <v>103.004167</v>
      </c>
      <c r="Q149" s="19">
        <v>2.197222</v>
      </c>
      <c r="R149" s="19" t="s">
        <v>41</v>
      </c>
      <c r="S149" s="19" t="s">
        <v>1870</v>
      </c>
    </row>
    <row r="150" spans="1:19" hidden="1" x14ac:dyDescent="0.25">
      <c r="A150" s="28">
        <v>2130001</v>
      </c>
      <c r="B150" s="15" t="s">
        <v>2322</v>
      </c>
      <c r="C150" s="19" t="s">
        <v>12</v>
      </c>
      <c r="D150" s="21" t="s">
        <v>2011</v>
      </c>
      <c r="E150" s="19" t="s">
        <v>2320</v>
      </c>
      <c r="F150" s="19" t="s">
        <v>2323</v>
      </c>
      <c r="G150" s="19" t="s">
        <v>2323</v>
      </c>
      <c r="H150" s="19"/>
      <c r="I150" s="19"/>
      <c r="J150" s="19" t="s">
        <v>19</v>
      </c>
      <c r="K150" s="19" t="s">
        <v>18</v>
      </c>
      <c r="L150" s="19" t="s">
        <v>19</v>
      </c>
      <c r="M150" s="19" t="s">
        <v>18</v>
      </c>
      <c r="N150" s="19" t="s">
        <v>19</v>
      </c>
      <c r="O150" s="19"/>
      <c r="P150" s="19">
        <v>103.010278</v>
      </c>
      <c r="Q150" s="19">
        <v>2.173333</v>
      </c>
      <c r="R150" s="19"/>
      <c r="S150" s="19" t="s">
        <v>1870</v>
      </c>
    </row>
    <row r="151" spans="1:19" hidden="1" x14ac:dyDescent="0.25">
      <c r="A151" s="28">
        <v>2130002</v>
      </c>
      <c r="B151" s="15" t="s">
        <v>2324</v>
      </c>
      <c r="C151" s="19" t="s">
        <v>12</v>
      </c>
      <c r="D151" s="21" t="s">
        <v>2011</v>
      </c>
      <c r="E151" s="19" t="s">
        <v>2320</v>
      </c>
      <c r="F151" s="19" t="s">
        <v>2323</v>
      </c>
      <c r="G151" s="19" t="s">
        <v>2323</v>
      </c>
      <c r="H151" s="19"/>
      <c r="I151" s="19"/>
      <c r="J151" s="19" t="s">
        <v>19</v>
      </c>
      <c r="K151" s="19" t="s">
        <v>18</v>
      </c>
      <c r="L151" s="19" t="s">
        <v>19</v>
      </c>
      <c r="M151" s="19" t="s">
        <v>18</v>
      </c>
      <c r="N151" s="19" t="s">
        <v>19</v>
      </c>
      <c r="O151" s="19"/>
      <c r="P151" s="19">
        <v>103.015278</v>
      </c>
      <c r="Q151" s="19">
        <v>2.1875</v>
      </c>
      <c r="R151" s="19"/>
      <c r="S151" s="19" t="s">
        <v>1870</v>
      </c>
    </row>
    <row r="152" spans="1:19" hidden="1" x14ac:dyDescent="0.25">
      <c r="A152" s="28">
        <v>2130068</v>
      </c>
      <c r="B152" s="15" t="s">
        <v>2325</v>
      </c>
      <c r="C152" s="19" t="s">
        <v>12</v>
      </c>
      <c r="D152" s="21" t="s">
        <v>2011</v>
      </c>
      <c r="E152" s="19" t="s">
        <v>2082</v>
      </c>
      <c r="F152" s="19" t="s">
        <v>2270</v>
      </c>
      <c r="G152" s="19" t="s">
        <v>2082</v>
      </c>
      <c r="H152" s="19" t="s">
        <v>494</v>
      </c>
      <c r="I152" s="19"/>
      <c r="J152" s="19" t="s">
        <v>18</v>
      </c>
      <c r="K152" s="19" t="s">
        <v>18</v>
      </c>
      <c r="L152" s="19" t="s">
        <v>18</v>
      </c>
      <c r="M152" s="19" t="s">
        <v>19</v>
      </c>
      <c r="N152" s="19" t="s">
        <v>18</v>
      </c>
      <c r="O152" s="19"/>
      <c r="P152" s="19">
        <v>103.05</v>
      </c>
      <c r="Q152" s="19">
        <v>2.1305559999999999</v>
      </c>
      <c r="R152" s="19" t="s">
        <v>20</v>
      </c>
      <c r="S152" s="19" t="s">
        <v>2326</v>
      </c>
    </row>
    <row r="153" spans="1:19" hidden="1" x14ac:dyDescent="0.25">
      <c r="A153" s="28">
        <v>2130070</v>
      </c>
      <c r="B153" s="15" t="s">
        <v>2327</v>
      </c>
      <c r="C153" s="19" t="s">
        <v>12</v>
      </c>
      <c r="D153" s="21" t="s">
        <v>2011</v>
      </c>
      <c r="E153" s="19" t="s">
        <v>2082</v>
      </c>
      <c r="F153" s="19" t="s">
        <v>2264</v>
      </c>
      <c r="G153" s="19" t="s">
        <v>2264</v>
      </c>
      <c r="H153" s="19"/>
      <c r="I153" s="19"/>
      <c r="J153" s="19" t="s">
        <v>19</v>
      </c>
      <c r="K153" s="19" t="s">
        <v>18</v>
      </c>
      <c r="L153" s="19" t="s">
        <v>19</v>
      </c>
      <c r="M153" s="19" t="s">
        <v>18</v>
      </c>
      <c r="N153" s="19" t="s">
        <v>19</v>
      </c>
      <c r="O153" s="19"/>
      <c r="P153" s="19">
        <v>103.041667</v>
      </c>
      <c r="Q153" s="19">
        <v>2.1208330000000002</v>
      </c>
      <c r="R153" s="19"/>
      <c r="S153" s="19" t="s">
        <v>1870</v>
      </c>
    </row>
    <row r="154" spans="1:19" hidden="1" x14ac:dyDescent="0.25">
      <c r="A154" s="28">
        <v>2131156</v>
      </c>
      <c r="B154" s="15" t="s">
        <v>2328</v>
      </c>
      <c r="C154" s="19" t="s">
        <v>12</v>
      </c>
      <c r="D154" s="21" t="s">
        <v>2011</v>
      </c>
      <c r="E154" s="19" t="s">
        <v>2140</v>
      </c>
      <c r="F154" s="19" t="s">
        <v>2329</v>
      </c>
      <c r="G154" s="19" t="s">
        <v>1430</v>
      </c>
      <c r="H154" s="19" t="s">
        <v>102</v>
      </c>
      <c r="I154" s="19" t="s">
        <v>1213</v>
      </c>
      <c r="J154" s="19" t="s">
        <v>19</v>
      </c>
      <c r="K154" s="19" t="s">
        <v>19</v>
      </c>
      <c r="L154" s="19" t="s">
        <v>18</v>
      </c>
      <c r="M154" s="19" t="s">
        <v>19</v>
      </c>
      <c r="N154" s="19" t="s">
        <v>19</v>
      </c>
      <c r="O154" s="19"/>
      <c r="P154" s="19">
        <v>103.17916700000001</v>
      </c>
      <c r="Q154" s="19">
        <v>2.141667</v>
      </c>
      <c r="R154" s="19" t="s">
        <v>20</v>
      </c>
      <c r="S154" s="19" t="s">
        <v>2110</v>
      </c>
    </row>
    <row r="155" spans="1:19" hidden="1" x14ac:dyDescent="0.25">
      <c r="A155" s="28">
        <v>2132154</v>
      </c>
      <c r="B155" s="15" t="s">
        <v>2658</v>
      </c>
      <c r="C155" s="19" t="s">
        <v>12</v>
      </c>
      <c r="D155" s="21" t="s">
        <v>2011</v>
      </c>
      <c r="E155" s="19" t="s">
        <v>2140</v>
      </c>
      <c r="F155" s="19" t="s">
        <v>2329</v>
      </c>
      <c r="G155" s="19" t="s">
        <v>1430</v>
      </c>
      <c r="H155" s="19" t="s">
        <v>1284</v>
      </c>
      <c r="I155" s="19"/>
      <c r="J155" s="19" t="s">
        <v>18</v>
      </c>
      <c r="K155" s="19" t="s">
        <v>18</v>
      </c>
      <c r="L155" s="19" t="s">
        <v>18</v>
      </c>
      <c r="M155" s="19" t="s">
        <v>19</v>
      </c>
      <c r="N155" s="19" t="s">
        <v>19</v>
      </c>
      <c r="O155" s="19"/>
      <c r="P155" s="19">
        <v>103.25833299999999</v>
      </c>
      <c r="Q155" s="19">
        <v>2.105556</v>
      </c>
      <c r="R155" s="19" t="s">
        <v>20</v>
      </c>
      <c r="S155" s="19" t="s">
        <v>2144</v>
      </c>
    </row>
    <row r="156" spans="1:19" hidden="1" x14ac:dyDescent="0.25">
      <c r="A156" s="28">
        <v>2132159</v>
      </c>
      <c r="B156" s="15" t="s">
        <v>2330</v>
      </c>
      <c r="C156" s="19" t="s">
        <v>12</v>
      </c>
      <c r="D156" s="21" t="s">
        <v>2011</v>
      </c>
      <c r="E156" s="19" t="s">
        <v>2140</v>
      </c>
      <c r="F156" s="19" t="s">
        <v>2329</v>
      </c>
      <c r="G156" s="19" t="s">
        <v>1430</v>
      </c>
      <c r="H156" s="19" t="s">
        <v>317</v>
      </c>
      <c r="I156" s="19" t="s">
        <v>2331</v>
      </c>
      <c r="J156" s="19" t="s">
        <v>19</v>
      </c>
      <c r="K156" s="19" t="s">
        <v>19</v>
      </c>
      <c r="L156" s="19" t="s">
        <v>18</v>
      </c>
      <c r="M156" s="19" t="s">
        <v>19</v>
      </c>
      <c r="N156" s="19" t="s">
        <v>19</v>
      </c>
      <c r="O156" s="19"/>
      <c r="P156" s="19">
        <v>103.205556</v>
      </c>
      <c r="Q156" s="19">
        <v>2.1694439999999999</v>
      </c>
      <c r="R156" s="19" t="s">
        <v>20</v>
      </c>
      <c r="S156" s="19" t="s">
        <v>1870</v>
      </c>
    </row>
    <row r="157" spans="1:19" hidden="1" x14ac:dyDescent="0.25">
      <c r="A157" s="28">
        <v>2133157</v>
      </c>
      <c r="B157" s="15" t="s">
        <v>2332</v>
      </c>
      <c r="C157" s="19" t="s">
        <v>12</v>
      </c>
      <c r="D157" s="21" t="s">
        <v>2011</v>
      </c>
      <c r="E157" s="19" t="s">
        <v>2140</v>
      </c>
      <c r="F157" s="19" t="s">
        <v>2181</v>
      </c>
      <c r="G157" s="19" t="s">
        <v>1430</v>
      </c>
      <c r="H157" s="19" t="s">
        <v>1388</v>
      </c>
      <c r="I157" s="19"/>
      <c r="J157" s="19" t="s">
        <v>18</v>
      </c>
      <c r="K157" s="19" t="s">
        <v>18</v>
      </c>
      <c r="L157" s="19" t="s">
        <v>18</v>
      </c>
      <c r="M157" s="19" t="s">
        <v>19</v>
      </c>
      <c r="N157" s="19" t="s">
        <v>19</v>
      </c>
      <c r="O157" s="19"/>
      <c r="P157" s="19">
        <v>103.344444</v>
      </c>
      <c r="Q157" s="19">
        <v>2.1111110000000002</v>
      </c>
      <c r="R157" s="19" t="s">
        <v>20</v>
      </c>
      <c r="S157" s="19" t="s">
        <v>220</v>
      </c>
    </row>
    <row r="158" spans="1:19" hidden="1" x14ac:dyDescent="0.25">
      <c r="A158" s="28">
        <v>2138001</v>
      </c>
      <c r="B158" s="15" t="s">
        <v>2333</v>
      </c>
      <c r="C158" s="19" t="s">
        <v>12</v>
      </c>
      <c r="D158" s="21" t="s">
        <v>2011</v>
      </c>
      <c r="E158" s="19" t="s">
        <v>2292</v>
      </c>
      <c r="F158" s="19" t="s">
        <v>2334</v>
      </c>
      <c r="G158" s="19" t="s">
        <v>2206</v>
      </c>
      <c r="H158" s="19" t="s">
        <v>1578</v>
      </c>
      <c r="I158" s="19"/>
      <c r="J158" s="19" t="s">
        <v>18</v>
      </c>
      <c r="K158" s="19" t="s">
        <v>18</v>
      </c>
      <c r="L158" s="19" t="s">
        <v>18</v>
      </c>
      <c r="M158" s="19" t="s">
        <v>19</v>
      </c>
      <c r="N158" s="19" t="s">
        <v>18</v>
      </c>
      <c r="O158" s="19"/>
      <c r="P158" s="19">
        <v>103.868056</v>
      </c>
      <c r="Q158" s="19">
        <v>2.1805560000000002</v>
      </c>
      <c r="R158" s="19" t="s">
        <v>41</v>
      </c>
      <c r="S158" s="19" t="s">
        <v>1870</v>
      </c>
    </row>
    <row r="159" spans="1:19" hidden="1" x14ac:dyDescent="0.25">
      <c r="A159" s="28">
        <v>2221008</v>
      </c>
      <c r="B159" s="15" t="s">
        <v>1253</v>
      </c>
      <c r="C159" s="19" t="s">
        <v>12</v>
      </c>
      <c r="D159" s="21" t="s">
        <v>1244</v>
      </c>
      <c r="E159" s="19" t="s">
        <v>1245</v>
      </c>
      <c r="F159" s="19" t="s">
        <v>1254</v>
      </c>
      <c r="G159" s="19" t="s">
        <v>1244</v>
      </c>
      <c r="H159" s="19" t="s">
        <v>1255</v>
      </c>
      <c r="I159" s="19"/>
      <c r="J159" s="19" t="s">
        <v>18</v>
      </c>
      <c r="K159" s="19" t="s">
        <v>18</v>
      </c>
      <c r="L159" s="19" t="s">
        <v>18</v>
      </c>
      <c r="M159" s="19" t="s">
        <v>19</v>
      </c>
      <c r="N159" s="19" t="s">
        <v>18</v>
      </c>
      <c r="O159" s="19" t="s">
        <v>19</v>
      </c>
      <c r="P159" s="19">
        <v>102.13333299999999</v>
      </c>
      <c r="Q159" s="19">
        <v>2.2916669999999999</v>
      </c>
      <c r="R159" s="19"/>
      <c r="S159" s="19" t="s">
        <v>544</v>
      </c>
    </row>
    <row r="160" spans="1:19" hidden="1" x14ac:dyDescent="0.25">
      <c r="A160" s="28">
        <v>2221009</v>
      </c>
      <c r="B160" s="15" t="s">
        <v>1256</v>
      </c>
      <c r="C160" s="19" t="s">
        <v>12</v>
      </c>
      <c r="D160" s="21" t="s">
        <v>1244</v>
      </c>
      <c r="E160" s="19" t="s">
        <v>1245</v>
      </c>
      <c r="F160" s="19" t="s">
        <v>1254</v>
      </c>
      <c r="G160" s="19" t="s">
        <v>1244</v>
      </c>
      <c r="H160" s="19" t="s">
        <v>301</v>
      </c>
      <c r="I160" s="19"/>
      <c r="J160" s="19" t="s">
        <v>19</v>
      </c>
      <c r="K160" s="19" t="s">
        <v>19</v>
      </c>
      <c r="L160" s="19" t="s">
        <v>18</v>
      </c>
      <c r="M160" s="19" t="s">
        <v>19</v>
      </c>
      <c r="N160" s="19" t="s">
        <v>19</v>
      </c>
      <c r="O160" s="19" t="s">
        <v>19</v>
      </c>
      <c r="P160" s="19">
        <v>102.181944</v>
      </c>
      <c r="Q160" s="19">
        <v>2.293056</v>
      </c>
      <c r="R160" s="19"/>
      <c r="S160" s="19" t="s">
        <v>20</v>
      </c>
    </row>
    <row r="161" spans="1:19" hidden="1" x14ac:dyDescent="0.25">
      <c r="A161" s="28">
        <v>2221039</v>
      </c>
      <c r="B161" s="15" t="s">
        <v>1257</v>
      </c>
      <c r="C161" s="19" t="s">
        <v>12</v>
      </c>
      <c r="D161" s="21" t="s">
        <v>1244</v>
      </c>
      <c r="E161" s="19" t="s">
        <v>1245</v>
      </c>
      <c r="F161" s="19" t="s">
        <v>1254</v>
      </c>
      <c r="G161" s="19" t="s">
        <v>1244</v>
      </c>
      <c r="H161" s="19" t="s">
        <v>1258</v>
      </c>
      <c r="I161" s="19"/>
      <c r="J161" s="19" t="s">
        <v>18</v>
      </c>
      <c r="K161" s="19" t="s">
        <v>18</v>
      </c>
      <c r="L161" s="19" t="s">
        <v>18</v>
      </c>
      <c r="M161" s="19" t="s">
        <v>19</v>
      </c>
      <c r="N161" s="19" t="s">
        <v>18</v>
      </c>
      <c r="O161" s="19" t="s">
        <v>19</v>
      </c>
      <c r="P161" s="19">
        <v>102.203333</v>
      </c>
      <c r="Q161" s="19">
        <v>2.2819440000000002</v>
      </c>
      <c r="R161" s="19"/>
      <c r="S161" s="19" t="s">
        <v>41</v>
      </c>
    </row>
    <row r="162" spans="1:19" hidden="1" x14ac:dyDescent="0.25">
      <c r="A162" s="28">
        <v>2222001</v>
      </c>
      <c r="B162" s="15" t="s">
        <v>1259</v>
      </c>
      <c r="C162" s="19" t="s">
        <v>12</v>
      </c>
      <c r="D162" s="21" t="s">
        <v>1244</v>
      </c>
      <c r="E162" s="19" t="s">
        <v>1245</v>
      </c>
      <c r="F162" s="19" t="s">
        <v>1254</v>
      </c>
      <c r="G162" s="19" t="s">
        <v>1244</v>
      </c>
      <c r="H162" s="19" t="s">
        <v>1260</v>
      </c>
      <c r="I162" s="19" t="s">
        <v>1261</v>
      </c>
      <c r="J162" s="19" t="s">
        <v>19</v>
      </c>
      <c r="K162" s="19" t="s">
        <v>19</v>
      </c>
      <c r="L162" s="19" t="s">
        <v>19</v>
      </c>
      <c r="M162" s="19" t="s">
        <v>19</v>
      </c>
      <c r="N162" s="19" t="s">
        <v>18</v>
      </c>
      <c r="O162" s="19" t="s">
        <v>19</v>
      </c>
      <c r="P162" s="19">
        <v>102.268056</v>
      </c>
      <c r="Q162" s="19">
        <v>2.2319439999999999</v>
      </c>
      <c r="R162" s="19"/>
      <c r="S162" s="19" t="s">
        <v>41</v>
      </c>
    </row>
    <row r="163" spans="1:19" hidden="1" x14ac:dyDescent="0.25">
      <c r="A163" s="28">
        <v>2222002</v>
      </c>
      <c r="B163" s="15" t="s">
        <v>2635</v>
      </c>
      <c r="C163" s="19" t="s">
        <v>12</v>
      </c>
      <c r="D163" s="21" t="s">
        <v>1244</v>
      </c>
      <c r="E163" s="19" t="s">
        <v>1262</v>
      </c>
      <c r="F163" s="19" t="s">
        <v>1263</v>
      </c>
      <c r="G163" s="19" t="s">
        <v>1263</v>
      </c>
      <c r="H163" s="19"/>
      <c r="I163" s="19"/>
      <c r="J163" s="19" t="s">
        <v>19</v>
      </c>
      <c r="K163" s="19" t="s">
        <v>18</v>
      </c>
      <c r="L163" s="19" t="s">
        <v>19</v>
      </c>
      <c r="M163" s="19" t="s">
        <v>18</v>
      </c>
      <c r="N163" s="19" t="s">
        <v>19</v>
      </c>
      <c r="O163" s="19" t="s">
        <v>19</v>
      </c>
      <c r="P163" s="19">
        <v>102.265278</v>
      </c>
      <c r="Q163" s="19">
        <v>2.2994439999999998</v>
      </c>
      <c r="R163" s="19"/>
      <c r="S163" s="19"/>
    </row>
    <row r="164" spans="1:19" hidden="1" x14ac:dyDescent="0.25">
      <c r="A164" s="28">
        <v>2222003</v>
      </c>
      <c r="B164" s="15" t="s">
        <v>2636</v>
      </c>
      <c r="C164" s="19" t="s">
        <v>12</v>
      </c>
      <c r="D164" s="21" t="s">
        <v>1244</v>
      </c>
      <c r="E164" s="19" t="s">
        <v>1245</v>
      </c>
      <c r="F164" s="19" t="s">
        <v>1263</v>
      </c>
      <c r="G164" s="19" t="s">
        <v>1263</v>
      </c>
      <c r="H164" s="19"/>
      <c r="I164" s="19"/>
      <c r="J164" s="19" t="s">
        <v>19</v>
      </c>
      <c r="K164" s="19" t="s">
        <v>18</v>
      </c>
      <c r="L164" s="19" t="s">
        <v>19</v>
      </c>
      <c r="M164" s="19" t="s">
        <v>18</v>
      </c>
      <c r="N164" s="19" t="s">
        <v>19</v>
      </c>
      <c r="O164" s="19" t="s">
        <v>19</v>
      </c>
      <c r="P164" s="19">
        <v>102.202778</v>
      </c>
      <c r="Q164" s="19">
        <v>2.2327780000000002</v>
      </c>
      <c r="R164" s="19"/>
      <c r="S164" s="19"/>
    </row>
    <row r="165" spans="1:19" hidden="1" x14ac:dyDescent="0.25">
      <c r="A165" s="28">
        <v>2222004</v>
      </c>
      <c r="B165" s="15" t="s">
        <v>1264</v>
      </c>
      <c r="C165" s="19" t="s">
        <v>12</v>
      </c>
      <c r="D165" s="21" t="s">
        <v>1244</v>
      </c>
      <c r="E165" s="19" t="s">
        <v>1245</v>
      </c>
      <c r="F165" s="19"/>
      <c r="G165" s="19"/>
      <c r="H165" s="19" t="s">
        <v>1265</v>
      </c>
      <c r="I165" s="19"/>
      <c r="J165" s="19" t="s">
        <v>19</v>
      </c>
      <c r="K165" s="19" t="s">
        <v>18</v>
      </c>
      <c r="L165" s="19" t="s">
        <v>19</v>
      </c>
      <c r="M165" s="19" t="s">
        <v>19</v>
      </c>
      <c r="N165" s="19" t="s">
        <v>18</v>
      </c>
      <c r="O165" s="19" t="s">
        <v>19</v>
      </c>
      <c r="P165" s="19">
        <v>102.27030600000001</v>
      </c>
      <c r="Q165" s="19">
        <v>2.2135560000000001</v>
      </c>
      <c r="R165" s="19"/>
      <c r="S165" s="19" t="s">
        <v>41</v>
      </c>
    </row>
    <row r="166" spans="1:19" hidden="1" x14ac:dyDescent="0.25">
      <c r="A166" s="28">
        <v>2222010</v>
      </c>
      <c r="B166" s="15" t="s">
        <v>1266</v>
      </c>
      <c r="C166" s="19" t="s">
        <v>12</v>
      </c>
      <c r="D166" s="21" t="s">
        <v>1244</v>
      </c>
      <c r="E166" s="19" t="s">
        <v>1245</v>
      </c>
      <c r="F166" s="19" t="s">
        <v>1254</v>
      </c>
      <c r="G166" s="19" t="s">
        <v>1244</v>
      </c>
      <c r="H166" s="19" t="s">
        <v>468</v>
      </c>
      <c r="I166" s="19"/>
      <c r="J166" s="19" t="s">
        <v>19</v>
      </c>
      <c r="K166" s="19" t="s">
        <v>19</v>
      </c>
      <c r="L166" s="19" t="s">
        <v>18</v>
      </c>
      <c r="M166" s="19" t="s">
        <v>19</v>
      </c>
      <c r="N166" s="19" t="s">
        <v>19</v>
      </c>
      <c r="O166" s="19" t="s">
        <v>19</v>
      </c>
      <c r="P166" s="19">
        <v>102.26388900000001</v>
      </c>
      <c r="Q166" s="19">
        <v>2.266667</v>
      </c>
      <c r="R166" s="19"/>
      <c r="S166" s="19" t="s">
        <v>221</v>
      </c>
    </row>
    <row r="167" spans="1:19" hidden="1" x14ac:dyDescent="0.25">
      <c r="A167" s="28">
        <v>2222011</v>
      </c>
      <c r="B167" s="15" t="s">
        <v>1267</v>
      </c>
      <c r="C167" s="19" t="s">
        <v>12</v>
      </c>
      <c r="D167" s="21" t="s">
        <v>1244</v>
      </c>
      <c r="E167" s="19" t="s">
        <v>1245</v>
      </c>
      <c r="F167" s="19" t="s">
        <v>1254</v>
      </c>
      <c r="G167" s="19" t="s">
        <v>1244</v>
      </c>
      <c r="H167" s="19" t="s">
        <v>301</v>
      </c>
      <c r="I167" s="19" t="s">
        <v>1268</v>
      </c>
      <c r="J167" s="19" t="s">
        <v>19</v>
      </c>
      <c r="K167" s="19" t="s">
        <v>19</v>
      </c>
      <c r="L167" s="19" t="s">
        <v>18</v>
      </c>
      <c r="M167" s="19" t="s">
        <v>19</v>
      </c>
      <c r="N167" s="19" t="s">
        <v>19</v>
      </c>
      <c r="O167" s="19" t="s">
        <v>19</v>
      </c>
      <c r="P167" s="19">
        <v>102.26388900000001</v>
      </c>
      <c r="Q167" s="19">
        <v>2.2180559999999998</v>
      </c>
      <c r="R167" s="19"/>
      <c r="S167" s="19" t="s">
        <v>279</v>
      </c>
    </row>
    <row r="168" spans="1:19" hidden="1" x14ac:dyDescent="0.25">
      <c r="A168" s="28">
        <v>2222032</v>
      </c>
      <c r="B168" s="15" t="s">
        <v>1269</v>
      </c>
      <c r="C168" s="19" t="s">
        <v>12</v>
      </c>
      <c r="D168" s="21" t="s">
        <v>1244</v>
      </c>
      <c r="E168" s="19" t="s">
        <v>1245</v>
      </c>
      <c r="F168" s="19"/>
      <c r="G168" s="19"/>
      <c r="H168" s="19" t="s">
        <v>1270</v>
      </c>
      <c r="I168" s="19"/>
      <c r="J168" s="19" t="s">
        <v>19</v>
      </c>
      <c r="K168" s="19" t="s">
        <v>18</v>
      </c>
      <c r="L168" s="19" t="s">
        <v>19</v>
      </c>
      <c r="M168" s="19" t="s">
        <v>19</v>
      </c>
      <c r="N168" s="19" t="s">
        <v>18</v>
      </c>
      <c r="O168" s="19" t="s">
        <v>19</v>
      </c>
      <c r="P168" s="19">
        <v>102.27166699999999</v>
      </c>
      <c r="Q168" s="19">
        <v>2.2572220000000001</v>
      </c>
      <c r="R168" s="19"/>
      <c r="S168" s="19" t="s">
        <v>41</v>
      </c>
    </row>
    <row r="169" spans="1:19" hidden="1" x14ac:dyDescent="0.25">
      <c r="A169" s="28">
        <v>2223022</v>
      </c>
      <c r="B169" s="15" t="s">
        <v>1271</v>
      </c>
      <c r="C169" s="19" t="s">
        <v>12</v>
      </c>
      <c r="D169" s="21" t="s">
        <v>1244</v>
      </c>
      <c r="E169" s="19" t="s">
        <v>1249</v>
      </c>
      <c r="F169" s="19" t="s">
        <v>590</v>
      </c>
      <c r="G169" s="19" t="s">
        <v>1244</v>
      </c>
      <c r="H169" s="19" t="s">
        <v>301</v>
      </c>
      <c r="I169" s="19"/>
      <c r="J169" s="19" t="s">
        <v>18</v>
      </c>
      <c r="K169" s="19" t="s">
        <v>18</v>
      </c>
      <c r="L169" s="19" t="s">
        <v>18</v>
      </c>
      <c r="M169" s="19" t="s">
        <v>19</v>
      </c>
      <c r="N169" s="19" t="s">
        <v>18</v>
      </c>
      <c r="O169" s="19" t="s">
        <v>19</v>
      </c>
      <c r="P169" s="19">
        <v>102.375</v>
      </c>
      <c r="Q169" s="19">
        <v>2.2416670000000001</v>
      </c>
      <c r="R169" s="19"/>
      <c r="S169" s="19" t="s">
        <v>20</v>
      </c>
    </row>
    <row r="170" spans="1:19" hidden="1" x14ac:dyDescent="0.25">
      <c r="A170" s="28">
        <v>2223023</v>
      </c>
      <c r="B170" s="15" t="s">
        <v>1272</v>
      </c>
      <c r="C170" s="19" t="s">
        <v>12</v>
      </c>
      <c r="D170" s="21" t="s">
        <v>1244</v>
      </c>
      <c r="E170" s="19" t="s">
        <v>1245</v>
      </c>
      <c r="F170" s="19" t="s">
        <v>590</v>
      </c>
      <c r="G170" s="19" t="s">
        <v>1244</v>
      </c>
      <c r="H170" s="19" t="s">
        <v>301</v>
      </c>
      <c r="I170" s="19"/>
      <c r="J170" s="19" t="s">
        <v>18</v>
      </c>
      <c r="K170" s="19" t="s">
        <v>18</v>
      </c>
      <c r="L170" s="19" t="s">
        <v>18</v>
      </c>
      <c r="M170" s="19" t="s">
        <v>19</v>
      </c>
      <c r="N170" s="19" t="s">
        <v>18</v>
      </c>
      <c r="O170" s="19" t="s">
        <v>19</v>
      </c>
      <c r="P170" s="19">
        <v>102.3</v>
      </c>
      <c r="Q170" s="19">
        <v>2.2000000000000002</v>
      </c>
      <c r="R170" s="19"/>
      <c r="S170" s="19" t="s">
        <v>41</v>
      </c>
    </row>
    <row r="171" spans="1:19" hidden="1" x14ac:dyDescent="0.25">
      <c r="A171" s="28">
        <v>2224036</v>
      </c>
      <c r="B171" s="15" t="s">
        <v>1273</v>
      </c>
      <c r="C171" s="19" t="s">
        <v>12</v>
      </c>
      <c r="D171" s="21" t="s">
        <v>1244</v>
      </c>
      <c r="E171" s="19" t="s">
        <v>1249</v>
      </c>
      <c r="F171" s="19" t="s">
        <v>590</v>
      </c>
      <c r="G171" s="19" t="s">
        <v>1244</v>
      </c>
      <c r="H171" s="19" t="s">
        <v>301</v>
      </c>
      <c r="I171" s="19"/>
      <c r="J171" s="19" t="s">
        <v>18</v>
      </c>
      <c r="K171" s="19" t="s">
        <v>18</v>
      </c>
      <c r="L171" s="19" t="s">
        <v>18</v>
      </c>
      <c r="M171" s="19" t="s">
        <v>19</v>
      </c>
      <c r="N171" s="19" t="s">
        <v>18</v>
      </c>
      <c r="O171" s="19" t="s">
        <v>19</v>
      </c>
      <c r="P171" s="19">
        <v>102.422222</v>
      </c>
      <c r="Q171" s="19">
        <v>2.2569439999999998</v>
      </c>
      <c r="R171" s="19"/>
      <c r="S171" s="19" t="s">
        <v>20</v>
      </c>
    </row>
    <row r="172" spans="1:19" hidden="1" x14ac:dyDescent="0.25">
      <c r="A172" s="28">
        <v>2224038</v>
      </c>
      <c r="B172" s="15" t="s">
        <v>1274</v>
      </c>
      <c r="C172" s="19" t="s">
        <v>12</v>
      </c>
      <c r="D172" s="21" t="s">
        <v>1244</v>
      </c>
      <c r="E172" s="19" t="s">
        <v>1249</v>
      </c>
      <c r="F172" s="19" t="s">
        <v>1250</v>
      </c>
      <c r="G172" s="19" t="s">
        <v>1251</v>
      </c>
      <c r="H172" s="19" t="s">
        <v>488</v>
      </c>
      <c r="I172" s="19"/>
      <c r="J172" s="19" t="s">
        <v>18</v>
      </c>
      <c r="K172" s="19" t="s">
        <v>18</v>
      </c>
      <c r="L172" s="19" t="s">
        <v>18</v>
      </c>
      <c r="M172" s="19" t="s">
        <v>19</v>
      </c>
      <c r="N172" s="19" t="s">
        <v>18</v>
      </c>
      <c r="O172" s="19" t="s">
        <v>19</v>
      </c>
      <c r="P172" s="19">
        <v>102.49166700000001</v>
      </c>
      <c r="Q172" s="19">
        <v>2.2888890000000002</v>
      </c>
      <c r="R172" s="19"/>
      <c r="S172" s="19" t="s">
        <v>41</v>
      </c>
    </row>
    <row r="173" spans="1:19" hidden="1" x14ac:dyDescent="0.25">
      <c r="A173" s="28">
        <v>2225026</v>
      </c>
      <c r="B173" s="15" t="s">
        <v>2335</v>
      </c>
      <c r="C173" s="19" t="s">
        <v>12</v>
      </c>
      <c r="D173" s="21" t="s">
        <v>2011</v>
      </c>
      <c r="E173" s="19" t="s">
        <v>1346</v>
      </c>
      <c r="F173" s="19" t="s">
        <v>2336</v>
      </c>
      <c r="G173" s="19" t="s">
        <v>1346</v>
      </c>
      <c r="H173" s="19" t="s">
        <v>928</v>
      </c>
      <c r="I173" s="19"/>
      <c r="J173" s="19" t="s">
        <v>18</v>
      </c>
      <c r="K173" s="19" t="s">
        <v>18</v>
      </c>
      <c r="L173" s="19" t="s">
        <v>18</v>
      </c>
      <c r="M173" s="19" t="s">
        <v>19</v>
      </c>
      <c r="N173" s="19" t="s">
        <v>18</v>
      </c>
      <c r="O173" s="19"/>
      <c r="P173" s="19">
        <v>102.573611</v>
      </c>
      <c r="Q173" s="19">
        <v>2.2513890000000001</v>
      </c>
      <c r="R173" s="19" t="s">
        <v>20</v>
      </c>
      <c r="S173" s="19" t="s">
        <v>1870</v>
      </c>
    </row>
    <row r="174" spans="1:19" hidden="1" x14ac:dyDescent="0.25">
      <c r="A174" s="28">
        <v>2225027</v>
      </c>
      <c r="B174" s="15" t="s">
        <v>2337</v>
      </c>
      <c r="C174" s="19" t="s">
        <v>12</v>
      </c>
      <c r="D174" s="21" t="s">
        <v>2011</v>
      </c>
      <c r="E174" s="19" t="s">
        <v>1346</v>
      </c>
      <c r="F174" s="19" t="s">
        <v>2258</v>
      </c>
      <c r="G174" s="19" t="s">
        <v>1346</v>
      </c>
      <c r="H174" s="19" t="s">
        <v>2338</v>
      </c>
      <c r="I174" s="19" t="s">
        <v>2339</v>
      </c>
      <c r="J174" s="19" t="s">
        <v>19</v>
      </c>
      <c r="K174" s="19" t="s">
        <v>19</v>
      </c>
      <c r="L174" s="19" t="s">
        <v>18</v>
      </c>
      <c r="M174" s="19" t="s">
        <v>19</v>
      </c>
      <c r="N174" s="19" t="s">
        <v>19</v>
      </c>
      <c r="O174" s="19"/>
      <c r="P174" s="19">
        <v>102.541667</v>
      </c>
      <c r="Q174" s="19">
        <v>2.2277779999999998</v>
      </c>
      <c r="R174" s="19" t="s">
        <v>20</v>
      </c>
      <c r="S174" s="19" t="s">
        <v>2340</v>
      </c>
    </row>
    <row r="175" spans="1:19" hidden="1" x14ac:dyDescent="0.25">
      <c r="A175" s="28">
        <v>2225043</v>
      </c>
      <c r="B175" s="15" t="s">
        <v>2341</v>
      </c>
      <c r="C175" s="19" t="s">
        <v>12</v>
      </c>
      <c r="D175" s="21" t="s">
        <v>2011</v>
      </c>
      <c r="E175" s="19" t="s">
        <v>1346</v>
      </c>
      <c r="F175" s="19" t="s">
        <v>2258</v>
      </c>
      <c r="G175" s="19" t="s">
        <v>1346</v>
      </c>
      <c r="H175" s="19" t="s">
        <v>301</v>
      </c>
      <c r="I175" s="19" t="s">
        <v>2122</v>
      </c>
      <c r="J175" s="19" t="s">
        <v>19</v>
      </c>
      <c r="K175" s="19" t="s">
        <v>19</v>
      </c>
      <c r="L175" s="19" t="s">
        <v>18</v>
      </c>
      <c r="M175" s="19" t="s">
        <v>19</v>
      </c>
      <c r="N175" s="19" t="s">
        <v>19</v>
      </c>
      <c r="O175" s="19"/>
      <c r="P175" s="19">
        <v>102.55</v>
      </c>
      <c r="Q175" s="19">
        <v>2.2722220000000002</v>
      </c>
      <c r="R175" s="19" t="s">
        <v>279</v>
      </c>
      <c r="S175" s="19" t="s">
        <v>1870</v>
      </c>
    </row>
    <row r="176" spans="1:19" hidden="1" x14ac:dyDescent="0.25">
      <c r="A176" s="28">
        <v>2226019</v>
      </c>
      <c r="B176" s="15" t="s">
        <v>2342</v>
      </c>
      <c r="C176" s="19" t="s">
        <v>12</v>
      </c>
      <c r="D176" s="21" t="s">
        <v>2011</v>
      </c>
      <c r="E176" s="19" t="s">
        <v>1346</v>
      </c>
      <c r="F176" s="19" t="s">
        <v>2343</v>
      </c>
      <c r="G176" s="19" t="s">
        <v>1346</v>
      </c>
      <c r="H176" s="19" t="s">
        <v>943</v>
      </c>
      <c r="I176" s="19" t="s">
        <v>2344</v>
      </c>
      <c r="J176" s="19" t="s">
        <v>19</v>
      </c>
      <c r="K176" s="19" t="s">
        <v>19</v>
      </c>
      <c r="L176" s="19" t="s">
        <v>18</v>
      </c>
      <c r="M176" s="19" t="s">
        <v>19</v>
      </c>
      <c r="N176" s="19" t="s">
        <v>19</v>
      </c>
      <c r="O176" s="19"/>
      <c r="P176" s="19">
        <v>102.669444</v>
      </c>
      <c r="Q176" s="19">
        <v>2.2222219999999999</v>
      </c>
      <c r="R176" s="19" t="s">
        <v>41</v>
      </c>
      <c r="S176" s="19" t="s">
        <v>2072</v>
      </c>
    </row>
    <row r="177" spans="1:19" hidden="1" x14ac:dyDescent="0.25">
      <c r="A177" s="28">
        <v>2228016</v>
      </c>
      <c r="B177" s="15" t="s">
        <v>2345</v>
      </c>
      <c r="C177" s="19" t="s">
        <v>12</v>
      </c>
      <c r="D177" s="21" t="s">
        <v>2011</v>
      </c>
      <c r="E177" s="19" t="s">
        <v>1346</v>
      </c>
      <c r="F177" s="19" t="s">
        <v>2346</v>
      </c>
      <c r="G177" s="19" t="s">
        <v>1346</v>
      </c>
      <c r="H177" s="19" t="s">
        <v>1722</v>
      </c>
      <c r="I177" s="19"/>
      <c r="J177" s="19" t="s">
        <v>18</v>
      </c>
      <c r="K177" s="19" t="s">
        <v>18</v>
      </c>
      <c r="L177" s="19" t="s">
        <v>18</v>
      </c>
      <c r="M177" s="19" t="s">
        <v>19</v>
      </c>
      <c r="N177" s="19" t="s">
        <v>19</v>
      </c>
      <c r="O177" s="19"/>
      <c r="P177" s="19">
        <v>102.819444</v>
      </c>
      <c r="Q177" s="19">
        <v>2.2208329999999998</v>
      </c>
      <c r="R177" s="19" t="s">
        <v>20</v>
      </c>
      <c r="S177" s="19" t="s">
        <v>1870</v>
      </c>
    </row>
    <row r="178" spans="1:19" hidden="1" x14ac:dyDescent="0.25">
      <c r="A178" s="28">
        <v>2230001</v>
      </c>
      <c r="B178" s="15" t="s">
        <v>2347</v>
      </c>
      <c r="C178" s="19" t="s">
        <v>12</v>
      </c>
      <c r="D178" s="21" t="s">
        <v>2011</v>
      </c>
      <c r="E178" s="19" t="s">
        <v>2320</v>
      </c>
      <c r="F178" s="19" t="s">
        <v>2323</v>
      </c>
      <c r="G178" s="19" t="s">
        <v>2082</v>
      </c>
      <c r="H178" s="19" t="s">
        <v>2042</v>
      </c>
      <c r="I178" s="19"/>
      <c r="J178" s="19" t="s">
        <v>18</v>
      </c>
      <c r="K178" s="19" t="s">
        <v>18</v>
      </c>
      <c r="L178" s="19" t="s">
        <v>19</v>
      </c>
      <c r="M178" s="19" t="s">
        <v>18</v>
      </c>
      <c r="N178" s="19" t="s">
        <v>18</v>
      </c>
      <c r="O178" s="19"/>
      <c r="P178" s="19">
        <v>103.040278</v>
      </c>
      <c r="Q178" s="19">
        <v>2.2583329999999999</v>
      </c>
      <c r="R178" s="19" t="s">
        <v>41</v>
      </c>
      <c r="S178" s="19" t="s">
        <v>1870</v>
      </c>
    </row>
    <row r="179" spans="1:19" hidden="1" x14ac:dyDescent="0.25">
      <c r="A179" s="28">
        <v>2230062</v>
      </c>
      <c r="B179" s="15" t="s">
        <v>2348</v>
      </c>
      <c r="C179" s="19" t="s">
        <v>12</v>
      </c>
      <c r="D179" s="21" t="s">
        <v>2011</v>
      </c>
      <c r="E179" s="19" t="s">
        <v>2320</v>
      </c>
      <c r="F179" s="19" t="s">
        <v>2270</v>
      </c>
      <c r="G179" s="19" t="s">
        <v>2082</v>
      </c>
      <c r="H179" s="19" t="s">
        <v>750</v>
      </c>
      <c r="I179" s="19" t="s">
        <v>2042</v>
      </c>
      <c r="J179" s="19" t="s">
        <v>19</v>
      </c>
      <c r="K179" s="19" t="s">
        <v>19</v>
      </c>
      <c r="L179" s="19" t="s">
        <v>19</v>
      </c>
      <c r="M179" s="19" t="s">
        <v>19</v>
      </c>
      <c r="N179" s="19" t="s">
        <v>18</v>
      </c>
      <c r="O179" s="19"/>
      <c r="P179" s="19">
        <v>103.063889</v>
      </c>
      <c r="Q179" s="19">
        <v>2.2805559999999998</v>
      </c>
      <c r="R179" s="19" t="s">
        <v>20</v>
      </c>
      <c r="S179" s="19" t="s">
        <v>2340</v>
      </c>
    </row>
    <row r="180" spans="1:19" hidden="1" x14ac:dyDescent="0.25">
      <c r="A180" s="28">
        <v>2231001</v>
      </c>
      <c r="B180" s="15" t="s">
        <v>2349</v>
      </c>
      <c r="C180" s="19" t="s">
        <v>12</v>
      </c>
      <c r="D180" s="21" t="s">
        <v>2011</v>
      </c>
      <c r="E180" s="19" t="s">
        <v>2320</v>
      </c>
      <c r="F180" s="19" t="s">
        <v>2264</v>
      </c>
      <c r="G180" s="19" t="s">
        <v>2082</v>
      </c>
      <c r="H180" s="19" t="s">
        <v>1473</v>
      </c>
      <c r="I180" s="19"/>
      <c r="J180" s="19" t="s">
        <v>18</v>
      </c>
      <c r="K180" s="19" t="s">
        <v>18</v>
      </c>
      <c r="L180" s="19" t="s">
        <v>19</v>
      </c>
      <c r="M180" s="19" t="s">
        <v>19</v>
      </c>
      <c r="N180" s="19" t="s">
        <v>18</v>
      </c>
      <c r="O180" s="19"/>
      <c r="P180" s="19">
        <v>103.147222</v>
      </c>
      <c r="Q180" s="19">
        <v>2.25</v>
      </c>
      <c r="R180" s="19" t="s">
        <v>41</v>
      </c>
      <c r="S180" s="19" t="s">
        <v>1870</v>
      </c>
    </row>
    <row r="181" spans="1:19" hidden="1" x14ac:dyDescent="0.25">
      <c r="A181" s="28">
        <v>2231001</v>
      </c>
      <c r="B181" s="15" t="s">
        <v>2350</v>
      </c>
      <c r="C181" s="19" t="s">
        <v>12</v>
      </c>
      <c r="D181" s="21" t="s">
        <v>2011</v>
      </c>
      <c r="E181" s="19" t="s">
        <v>2320</v>
      </c>
      <c r="F181" s="19" t="s">
        <v>2264</v>
      </c>
      <c r="G181" s="19" t="s">
        <v>2264</v>
      </c>
      <c r="H181" s="19"/>
      <c r="I181" s="19"/>
      <c r="J181" s="19" t="s">
        <v>19</v>
      </c>
      <c r="K181" s="19" t="s">
        <v>18</v>
      </c>
      <c r="L181" s="19" t="s">
        <v>19</v>
      </c>
      <c r="M181" s="19" t="s">
        <v>18</v>
      </c>
      <c r="N181" s="19" t="s">
        <v>19</v>
      </c>
      <c r="O181" s="19"/>
      <c r="P181" s="19">
        <v>103.13333299999999</v>
      </c>
      <c r="Q181" s="19">
        <v>2.25</v>
      </c>
      <c r="R181" s="19"/>
      <c r="S181" s="19" t="s">
        <v>1870</v>
      </c>
    </row>
    <row r="182" spans="1:19" hidden="1" x14ac:dyDescent="0.25">
      <c r="A182" s="28">
        <v>2232001</v>
      </c>
      <c r="B182" s="15" t="s">
        <v>2351</v>
      </c>
      <c r="C182" s="19" t="s">
        <v>12</v>
      </c>
      <c r="D182" s="21" t="s">
        <v>2011</v>
      </c>
      <c r="E182" s="19" t="s">
        <v>2140</v>
      </c>
      <c r="F182" s="19" t="s">
        <v>2233</v>
      </c>
      <c r="G182" s="19" t="s">
        <v>1430</v>
      </c>
      <c r="H182" s="19" t="s">
        <v>411</v>
      </c>
      <c r="I182" s="19"/>
      <c r="J182" s="19" t="s">
        <v>18</v>
      </c>
      <c r="K182" s="19" t="s">
        <v>18</v>
      </c>
      <c r="L182" s="19" t="s">
        <v>18</v>
      </c>
      <c r="M182" s="19" t="s">
        <v>19</v>
      </c>
      <c r="N182" s="19" t="s">
        <v>18</v>
      </c>
      <c r="O182" s="19"/>
      <c r="P182" s="19">
        <v>103.297222</v>
      </c>
      <c r="Q182" s="19">
        <v>2.2513890000000001</v>
      </c>
      <c r="R182" s="19" t="s">
        <v>41</v>
      </c>
      <c r="S182" s="19" t="s">
        <v>2352</v>
      </c>
    </row>
    <row r="183" spans="1:19" hidden="1" x14ac:dyDescent="0.25">
      <c r="A183" s="28">
        <v>2232158</v>
      </c>
      <c r="B183" s="15" t="s">
        <v>2353</v>
      </c>
      <c r="C183" s="19" t="s">
        <v>12</v>
      </c>
      <c r="D183" s="21" t="s">
        <v>2011</v>
      </c>
      <c r="E183" s="19" t="s">
        <v>2140</v>
      </c>
      <c r="F183" s="19" t="s">
        <v>2329</v>
      </c>
      <c r="G183" s="19" t="s">
        <v>1430</v>
      </c>
      <c r="H183" s="19" t="s">
        <v>317</v>
      </c>
      <c r="I183" s="19"/>
      <c r="J183" s="19" t="s">
        <v>18</v>
      </c>
      <c r="K183" s="19" t="s">
        <v>18</v>
      </c>
      <c r="L183" s="19" t="s">
        <v>18</v>
      </c>
      <c r="M183" s="19" t="s">
        <v>19</v>
      </c>
      <c r="N183" s="19" t="s">
        <v>19</v>
      </c>
      <c r="O183" s="19"/>
      <c r="P183" s="19">
        <v>103.2</v>
      </c>
      <c r="Q183" s="19">
        <v>2.2027779999999999</v>
      </c>
      <c r="R183" s="19" t="s">
        <v>20</v>
      </c>
      <c r="S183" s="19" t="s">
        <v>2354</v>
      </c>
    </row>
    <row r="184" spans="1:19" hidden="1" x14ac:dyDescent="0.25">
      <c r="A184" s="28">
        <v>2233001</v>
      </c>
      <c r="B184" s="15" t="s">
        <v>2355</v>
      </c>
      <c r="C184" s="19" t="s">
        <v>12</v>
      </c>
      <c r="D184" s="21" t="s">
        <v>2011</v>
      </c>
      <c r="E184" s="19" t="s">
        <v>2140</v>
      </c>
      <c r="F184" s="19" t="s">
        <v>2356</v>
      </c>
      <c r="G184" s="19" t="s">
        <v>2357</v>
      </c>
      <c r="H184" s="19" t="s">
        <v>1804</v>
      </c>
      <c r="I184" s="19"/>
      <c r="J184" s="19" t="s">
        <v>18</v>
      </c>
      <c r="K184" s="19" t="s">
        <v>18</v>
      </c>
      <c r="L184" s="19" t="s">
        <v>18</v>
      </c>
      <c r="M184" s="19" t="s">
        <v>19</v>
      </c>
      <c r="N184" s="19" t="s">
        <v>18</v>
      </c>
      <c r="O184" s="19"/>
      <c r="P184" s="19">
        <v>103.34861100000001</v>
      </c>
      <c r="Q184" s="19">
        <v>2.269444</v>
      </c>
      <c r="R184" s="19" t="s">
        <v>20</v>
      </c>
      <c r="S184" s="19" t="s">
        <v>1870</v>
      </c>
    </row>
    <row r="185" spans="1:19" hidden="1" x14ac:dyDescent="0.25">
      <c r="A185" s="28">
        <v>2235001</v>
      </c>
      <c r="B185" s="15" t="s">
        <v>2358</v>
      </c>
      <c r="C185" s="19" t="s">
        <v>12</v>
      </c>
      <c r="D185" s="21" t="s">
        <v>2011</v>
      </c>
      <c r="E185" s="19" t="s">
        <v>2140</v>
      </c>
      <c r="F185" s="19" t="s">
        <v>2293</v>
      </c>
      <c r="G185" s="19" t="s">
        <v>1430</v>
      </c>
      <c r="H185" s="19" t="s">
        <v>116</v>
      </c>
      <c r="I185" s="19"/>
      <c r="J185" s="19" t="s">
        <v>18</v>
      </c>
      <c r="K185" s="19" t="s">
        <v>18</v>
      </c>
      <c r="L185" s="19" t="s">
        <v>18</v>
      </c>
      <c r="M185" s="19" t="s">
        <v>19</v>
      </c>
      <c r="N185" s="19" t="s">
        <v>18</v>
      </c>
      <c r="O185" s="19"/>
      <c r="P185" s="19">
        <v>103.556944</v>
      </c>
      <c r="Q185" s="19">
        <v>2.2277779999999998</v>
      </c>
      <c r="R185" s="19" t="s">
        <v>41</v>
      </c>
      <c r="S185" s="19" t="s">
        <v>220</v>
      </c>
    </row>
    <row r="186" spans="1:19" hidden="1" x14ac:dyDescent="0.25">
      <c r="A186" s="28">
        <v>2235162</v>
      </c>
      <c r="B186" s="15" t="s">
        <v>2359</v>
      </c>
      <c r="C186" s="19" t="s">
        <v>12</v>
      </c>
      <c r="D186" s="21" t="s">
        <v>2011</v>
      </c>
      <c r="E186" s="19" t="s">
        <v>2292</v>
      </c>
      <c r="F186" s="19" t="s">
        <v>2293</v>
      </c>
      <c r="G186" s="19" t="s">
        <v>1430</v>
      </c>
      <c r="H186" s="19" t="s">
        <v>2360</v>
      </c>
      <c r="I186" s="19" t="s">
        <v>2361</v>
      </c>
      <c r="J186" s="19" t="s">
        <v>19</v>
      </c>
      <c r="K186" s="19" t="s">
        <v>19</v>
      </c>
      <c r="L186" s="19" t="s">
        <v>18</v>
      </c>
      <c r="M186" s="19" t="s">
        <v>19</v>
      </c>
      <c r="N186" s="19" t="s">
        <v>19</v>
      </c>
      <c r="O186" s="19"/>
      <c r="P186" s="19">
        <v>103.547222</v>
      </c>
      <c r="Q186" s="19">
        <v>2.213889</v>
      </c>
      <c r="R186" s="19" t="s">
        <v>41</v>
      </c>
      <c r="S186" s="19" t="s">
        <v>2340</v>
      </c>
    </row>
    <row r="187" spans="1:19" hidden="1" x14ac:dyDescent="0.25">
      <c r="A187" s="28">
        <v>2235163</v>
      </c>
      <c r="B187" s="15" t="s">
        <v>2362</v>
      </c>
      <c r="C187" s="19" t="s">
        <v>12</v>
      </c>
      <c r="D187" s="21" t="s">
        <v>2011</v>
      </c>
      <c r="E187" s="19" t="s">
        <v>2140</v>
      </c>
      <c r="F187" s="19" t="s">
        <v>2363</v>
      </c>
      <c r="G187" s="19" t="s">
        <v>1430</v>
      </c>
      <c r="H187" s="19" t="s">
        <v>2364</v>
      </c>
      <c r="I187" s="19"/>
      <c r="J187" s="19" t="s">
        <v>18</v>
      </c>
      <c r="K187" s="19" t="s">
        <v>18</v>
      </c>
      <c r="L187" s="19" t="s">
        <v>18</v>
      </c>
      <c r="M187" s="19" t="s">
        <v>19</v>
      </c>
      <c r="N187" s="19" t="s">
        <v>18</v>
      </c>
      <c r="O187" s="19"/>
      <c r="P187" s="19">
        <v>103.59861100000001</v>
      </c>
      <c r="Q187" s="19">
        <v>2.2291669999999999</v>
      </c>
      <c r="R187" s="19" t="s">
        <v>41</v>
      </c>
      <c r="S187" s="19" t="s">
        <v>2150</v>
      </c>
    </row>
    <row r="188" spans="1:19" hidden="1" x14ac:dyDescent="0.25">
      <c r="A188" s="28">
        <v>2237164</v>
      </c>
      <c r="B188" s="15" t="s">
        <v>2659</v>
      </c>
      <c r="C188" s="19" t="s">
        <v>12</v>
      </c>
      <c r="D188" s="21" t="s">
        <v>2011</v>
      </c>
      <c r="E188" s="19" t="s">
        <v>2292</v>
      </c>
      <c r="F188" s="19" t="s">
        <v>2365</v>
      </c>
      <c r="G188" s="19" t="s">
        <v>1430</v>
      </c>
      <c r="H188" s="19" t="s">
        <v>2366</v>
      </c>
      <c r="I188" s="19"/>
      <c r="J188" s="19" t="s">
        <v>18</v>
      </c>
      <c r="K188" s="19" t="s">
        <v>18</v>
      </c>
      <c r="L188" s="19" t="s">
        <v>19</v>
      </c>
      <c r="M188" s="19" t="s">
        <v>19</v>
      </c>
      <c r="N188" s="19" t="s">
        <v>18</v>
      </c>
      <c r="O188" s="19"/>
      <c r="P188" s="19">
        <v>103.73611099999999</v>
      </c>
      <c r="Q188" s="19">
        <v>2.2569439999999998</v>
      </c>
      <c r="R188" s="19" t="s">
        <v>41</v>
      </c>
      <c r="S188" s="19" t="s">
        <v>2367</v>
      </c>
    </row>
    <row r="189" spans="1:19" hidden="1" x14ac:dyDescent="0.25">
      <c r="A189" s="28">
        <v>2238188</v>
      </c>
      <c r="B189" s="15" t="s">
        <v>2660</v>
      </c>
      <c r="C189" s="19" t="s">
        <v>12</v>
      </c>
      <c r="D189" s="21" t="s">
        <v>2011</v>
      </c>
      <c r="E189" s="19" t="s">
        <v>2320</v>
      </c>
      <c r="F189" s="19" t="s">
        <v>2368</v>
      </c>
      <c r="G189" s="19" t="s">
        <v>1346</v>
      </c>
      <c r="H189" s="19" t="s">
        <v>893</v>
      </c>
      <c r="I189" s="19" t="s">
        <v>1473</v>
      </c>
      <c r="J189" s="19" t="s">
        <v>19</v>
      </c>
      <c r="K189" s="19" t="s">
        <v>19</v>
      </c>
      <c r="L189" s="19" t="s">
        <v>19</v>
      </c>
      <c r="M189" s="19" t="s">
        <v>19</v>
      </c>
      <c r="N189" s="19" t="s">
        <v>18</v>
      </c>
      <c r="O189" s="19"/>
      <c r="P189" s="19">
        <v>103.875</v>
      </c>
      <c r="Q189" s="19">
        <v>2.2458330000000002</v>
      </c>
      <c r="R189" s="19" t="s">
        <v>41</v>
      </c>
      <c r="S189" s="19" t="s">
        <v>2072</v>
      </c>
    </row>
    <row r="190" spans="1:19" hidden="1" x14ac:dyDescent="0.25">
      <c r="A190" s="28">
        <v>2238189</v>
      </c>
      <c r="B190" s="15" t="s">
        <v>2369</v>
      </c>
      <c r="C190" s="19" t="s">
        <v>12</v>
      </c>
      <c r="D190" s="21" t="s">
        <v>2011</v>
      </c>
      <c r="E190" s="19" t="s">
        <v>2292</v>
      </c>
      <c r="F190" s="19" t="s">
        <v>2370</v>
      </c>
      <c r="G190" s="19" t="s">
        <v>2371</v>
      </c>
      <c r="H190" s="19" t="s">
        <v>1017</v>
      </c>
      <c r="I190" s="19" t="s">
        <v>2372</v>
      </c>
      <c r="J190" s="19" t="s">
        <v>19</v>
      </c>
      <c r="K190" s="19" t="s">
        <v>19</v>
      </c>
      <c r="L190" s="19" t="s">
        <v>18</v>
      </c>
      <c r="M190" s="19" t="s">
        <v>19</v>
      </c>
      <c r="N190" s="19" t="s">
        <v>19</v>
      </c>
      <c r="O190" s="19"/>
      <c r="P190" s="19">
        <v>103.85555600000001</v>
      </c>
      <c r="Q190" s="19">
        <v>2.276389</v>
      </c>
      <c r="R190" s="19" t="s">
        <v>164</v>
      </c>
      <c r="S190" s="19" t="s">
        <v>1870</v>
      </c>
    </row>
    <row r="191" spans="1:19" hidden="1" x14ac:dyDescent="0.25">
      <c r="A191" s="28">
        <v>2320005</v>
      </c>
      <c r="B191" s="15" t="s">
        <v>1275</v>
      </c>
      <c r="C191" s="19" t="s">
        <v>12</v>
      </c>
      <c r="D191" s="21" t="s">
        <v>1244</v>
      </c>
      <c r="E191" s="19" t="s">
        <v>1262</v>
      </c>
      <c r="F191" s="19" t="s">
        <v>1276</v>
      </c>
      <c r="G191" s="19" t="s">
        <v>1277</v>
      </c>
      <c r="H191" s="19" t="s">
        <v>301</v>
      </c>
      <c r="I191" s="19"/>
      <c r="J191" s="19" t="s">
        <v>18</v>
      </c>
      <c r="K191" s="19" t="s">
        <v>18</v>
      </c>
      <c r="L191" s="19" t="s">
        <v>18</v>
      </c>
      <c r="M191" s="19" t="s">
        <v>19</v>
      </c>
      <c r="N191" s="19" t="s">
        <v>18</v>
      </c>
      <c r="O191" s="19" t="s">
        <v>19</v>
      </c>
      <c r="P191" s="19">
        <v>102.09861100000001</v>
      </c>
      <c r="Q191" s="19">
        <v>2.3888889999999998</v>
      </c>
      <c r="R191" s="19"/>
      <c r="S191" s="19" t="s">
        <v>20</v>
      </c>
    </row>
    <row r="192" spans="1:19" hidden="1" x14ac:dyDescent="0.25">
      <c r="A192" s="28">
        <v>2321006</v>
      </c>
      <c r="B192" s="15" t="s">
        <v>1278</v>
      </c>
      <c r="C192" s="19" t="s">
        <v>12</v>
      </c>
      <c r="D192" s="21" t="s">
        <v>1244</v>
      </c>
      <c r="E192" s="19" t="s">
        <v>1262</v>
      </c>
      <c r="F192" s="19"/>
      <c r="G192" s="19"/>
      <c r="H192" s="19" t="s">
        <v>943</v>
      </c>
      <c r="I192" s="19"/>
      <c r="J192" s="19" t="s">
        <v>18</v>
      </c>
      <c r="K192" s="19" t="s">
        <v>18</v>
      </c>
      <c r="L192" s="19" t="s">
        <v>18</v>
      </c>
      <c r="M192" s="19" t="s">
        <v>19</v>
      </c>
      <c r="N192" s="19" t="s">
        <v>18</v>
      </c>
      <c r="O192" s="19" t="s">
        <v>19</v>
      </c>
      <c r="P192" s="19">
        <v>102.193056</v>
      </c>
      <c r="Q192" s="19">
        <v>2.3638889999999999</v>
      </c>
      <c r="R192" s="19"/>
      <c r="S192" s="19" t="s">
        <v>41</v>
      </c>
    </row>
    <row r="193" spans="1:19" hidden="1" x14ac:dyDescent="0.25">
      <c r="A193" s="28">
        <v>2321007</v>
      </c>
      <c r="B193" s="15" t="s">
        <v>1279</v>
      </c>
      <c r="C193" s="19" t="s">
        <v>12</v>
      </c>
      <c r="D193" s="21" t="s">
        <v>1244</v>
      </c>
      <c r="E193" s="19" t="s">
        <v>1262</v>
      </c>
      <c r="F193" s="19"/>
      <c r="G193" s="19"/>
      <c r="H193" s="19"/>
      <c r="I193" s="19"/>
      <c r="J193" s="19" t="s">
        <v>19</v>
      </c>
      <c r="K193" s="19" t="s">
        <v>18</v>
      </c>
      <c r="L193" s="19" t="s">
        <v>19</v>
      </c>
      <c r="M193" s="19" t="s">
        <v>19</v>
      </c>
      <c r="N193" s="19" t="s">
        <v>18</v>
      </c>
      <c r="O193" s="19" t="s">
        <v>19</v>
      </c>
      <c r="P193" s="19">
        <v>102.11318300000001</v>
      </c>
      <c r="Q193" s="19">
        <v>2.343092</v>
      </c>
      <c r="R193" s="19"/>
      <c r="S193" s="19"/>
    </row>
    <row r="194" spans="1:19" hidden="1" x14ac:dyDescent="0.25">
      <c r="A194" s="28">
        <v>2322001</v>
      </c>
      <c r="B194" s="15" t="s">
        <v>1264</v>
      </c>
      <c r="C194" s="19" t="s">
        <v>12</v>
      </c>
      <c r="D194" s="21" t="s">
        <v>1244</v>
      </c>
      <c r="E194" s="19" t="s">
        <v>1280</v>
      </c>
      <c r="F194" s="19"/>
      <c r="G194" s="19"/>
      <c r="H194" s="19" t="s">
        <v>1265</v>
      </c>
      <c r="I194" s="19"/>
      <c r="J194" s="19" t="s">
        <v>18</v>
      </c>
      <c r="K194" s="19" t="s">
        <v>18</v>
      </c>
      <c r="L194" s="19" t="s">
        <v>18</v>
      </c>
      <c r="M194" s="19" t="s">
        <v>19</v>
      </c>
      <c r="N194" s="19" t="s">
        <v>18</v>
      </c>
      <c r="O194" s="19" t="s">
        <v>19</v>
      </c>
      <c r="P194" s="19">
        <v>102.27028300000001</v>
      </c>
      <c r="Q194" s="19">
        <v>2.2134779999999998</v>
      </c>
      <c r="R194" s="19"/>
      <c r="S194" s="19" t="s">
        <v>41</v>
      </c>
    </row>
    <row r="195" spans="1:19" hidden="1" x14ac:dyDescent="0.25">
      <c r="A195" s="28">
        <v>2322004</v>
      </c>
      <c r="B195" s="15" t="s">
        <v>1281</v>
      </c>
      <c r="C195" s="19" t="s">
        <v>12</v>
      </c>
      <c r="D195" s="21" t="s">
        <v>1244</v>
      </c>
      <c r="E195" s="19" t="s">
        <v>1262</v>
      </c>
      <c r="F195" s="19"/>
      <c r="G195" s="19"/>
      <c r="H195" s="19" t="s">
        <v>301</v>
      </c>
      <c r="I195" s="19"/>
      <c r="J195" s="19" t="s">
        <v>19</v>
      </c>
      <c r="K195" s="19" t="s">
        <v>19</v>
      </c>
      <c r="L195" s="19" t="s">
        <v>18</v>
      </c>
      <c r="M195" s="19" t="s">
        <v>19</v>
      </c>
      <c r="N195" s="19" t="s">
        <v>19</v>
      </c>
      <c r="O195" s="19" t="s">
        <v>19</v>
      </c>
      <c r="P195" s="19">
        <v>102.211111</v>
      </c>
      <c r="Q195" s="19">
        <v>2.3777780000000002</v>
      </c>
      <c r="R195" s="19"/>
      <c r="S195" s="19" t="s">
        <v>164</v>
      </c>
    </row>
    <row r="196" spans="1:19" hidden="1" x14ac:dyDescent="0.25">
      <c r="A196" s="28">
        <v>2322006</v>
      </c>
      <c r="B196" s="15" t="s">
        <v>1282</v>
      </c>
      <c r="C196" s="19" t="s">
        <v>12</v>
      </c>
      <c r="D196" s="21" t="s">
        <v>1244</v>
      </c>
      <c r="E196" s="19" t="s">
        <v>1262</v>
      </c>
      <c r="F196" s="19" t="s">
        <v>1263</v>
      </c>
      <c r="G196" s="19" t="s">
        <v>1263</v>
      </c>
      <c r="H196" s="19"/>
      <c r="I196" s="19"/>
      <c r="J196" s="19" t="s">
        <v>19</v>
      </c>
      <c r="K196" s="19" t="s">
        <v>18</v>
      </c>
      <c r="L196" s="19" t="s">
        <v>19</v>
      </c>
      <c r="M196" s="19" t="s">
        <v>18</v>
      </c>
      <c r="N196" s="19" t="s">
        <v>19</v>
      </c>
      <c r="O196" s="19" t="s">
        <v>19</v>
      </c>
      <c r="P196" s="19">
        <v>102.22111099999999</v>
      </c>
      <c r="Q196" s="19">
        <v>2.3733330000000001</v>
      </c>
      <c r="R196" s="19"/>
      <c r="S196" s="19"/>
    </row>
    <row r="197" spans="1:19" hidden="1" x14ac:dyDescent="0.25">
      <c r="A197" s="28">
        <v>2323007</v>
      </c>
      <c r="B197" s="15" t="s">
        <v>1283</v>
      </c>
      <c r="C197" s="19" t="s">
        <v>12</v>
      </c>
      <c r="D197" s="21" t="s">
        <v>1244</v>
      </c>
      <c r="E197" s="19" t="s">
        <v>1262</v>
      </c>
      <c r="F197" s="19"/>
      <c r="G197" s="19"/>
      <c r="H197" s="19" t="s">
        <v>1284</v>
      </c>
      <c r="I197" s="19"/>
      <c r="J197" s="19" t="s">
        <v>18</v>
      </c>
      <c r="K197" s="19" t="s">
        <v>18</v>
      </c>
      <c r="L197" s="19" t="s">
        <v>18</v>
      </c>
      <c r="M197" s="19" t="s">
        <v>19</v>
      </c>
      <c r="N197" s="19" t="s">
        <v>18</v>
      </c>
      <c r="O197" s="19" t="s">
        <v>19</v>
      </c>
      <c r="P197" s="19">
        <v>102.327778</v>
      </c>
      <c r="Q197" s="19">
        <v>2.3333330000000001</v>
      </c>
      <c r="R197" s="19"/>
      <c r="S197" s="19" t="s">
        <v>20</v>
      </c>
    </row>
    <row r="198" spans="1:19" hidden="1" x14ac:dyDescent="0.25">
      <c r="A198" s="28">
        <v>2323008</v>
      </c>
      <c r="B198" s="15" t="s">
        <v>1285</v>
      </c>
      <c r="C198" s="19" t="s">
        <v>12</v>
      </c>
      <c r="D198" s="21" t="s">
        <v>1244</v>
      </c>
      <c r="E198" s="19" t="s">
        <v>1286</v>
      </c>
      <c r="F198" s="19" t="s">
        <v>1287</v>
      </c>
      <c r="G198" s="19"/>
      <c r="H198" s="19" t="s">
        <v>1288</v>
      </c>
      <c r="I198" s="19"/>
      <c r="J198" s="19" t="s">
        <v>19</v>
      </c>
      <c r="K198" s="19" t="s">
        <v>18</v>
      </c>
      <c r="L198" s="19" t="s">
        <v>19</v>
      </c>
      <c r="M198" s="19" t="s">
        <v>19</v>
      </c>
      <c r="N198" s="19" t="s">
        <v>18</v>
      </c>
      <c r="O198" s="19" t="s">
        <v>19</v>
      </c>
      <c r="P198" s="19">
        <v>102.38127799999999</v>
      </c>
      <c r="Q198" s="19">
        <v>2.3906939999999999</v>
      </c>
      <c r="R198" s="19"/>
      <c r="S198" s="19" t="s">
        <v>41</v>
      </c>
    </row>
    <row r="199" spans="1:19" hidden="1" x14ac:dyDescent="0.25">
      <c r="A199" s="28">
        <v>2324032</v>
      </c>
      <c r="B199" s="15" t="s">
        <v>1289</v>
      </c>
      <c r="C199" s="19" t="s">
        <v>12</v>
      </c>
      <c r="D199" s="21" t="s">
        <v>1244</v>
      </c>
      <c r="E199" s="19" t="s">
        <v>1249</v>
      </c>
      <c r="F199" s="19"/>
      <c r="G199" s="19" t="s">
        <v>1251</v>
      </c>
      <c r="H199" s="19" t="s">
        <v>688</v>
      </c>
      <c r="I199" s="19"/>
      <c r="J199" s="19" t="s">
        <v>18</v>
      </c>
      <c r="K199" s="19" t="s">
        <v>18</v>
      </c>
      <c r="L199" s="19" t="s">
        <v>18</v>
      </c>
      <c r="M199" s="19" t="s">
        <v>19</v>
      </c>
      <c r="N199" s="19" t="s">
        <v>18</v>
      </c>
      <c r="O199" s="19" t="s">
        <v>19</v>
      </c>
      <c r="P199" s="19">
        <v>102.427778</v>
      </c>
      <c r="Q199" s="19">
        <v>2.391667</v>
      </c>
      <c r="R199" s="19"/>
      <c r="S199" s="19" t="s">
        <v>20</v>
      </c>
    </row>
    <row r="200" spans="1:19" hidden="1" x14ac:dyDescent="0.25">
      <c r="A200" s="28">
        <v>2324033</v>
      </c>
      <c r="B200" s="15" t="s">
        <v>1290</v>
      </c>
      <c r="C200" s="19" t="s">
        <v>12</v>
      </c>
      <c r="D200" s="21" t="s">
        <v>1244</v>
      </c>
      <c r="E200" s="19" t="s">
        <v>1249</v>
      </c>
      <c r="F200" s="19"/>
      <c r="G200" s="19" t="s">
        <v>1251</v>
      </c>
      <c r="H200" s="19" t="s">
        <v>301</v>
      </c>
      <c r="I200" s="19"/>
      <c r="J200" s="19" t="s">
        <v>18</v>
      </c>
      <c r="K200" s="19" t="s">
        <v>18</v>
      </c>
      <c r="L200" s="19" t="s">
        <v>18</v>
      </c>
      <c r="M200" s="19" t="s">
        <v>19</v>
      </c>
      <c r="N200" s="19" t="s">
        <v>18</v>
      </c>
      <c r="O200" s="19" t="s">
        <v>19</v>
      </c>
      <c r="P200" s="19">
        <v>102.431944</v>
      </c>
      <c r="Q200" s="19">
        <v>2.3083330000000002</v>
      </c>
      <c r="R200" s="19"/>
      <c r="S200" s="19" t="s">
        <v>279</v>
      </c>
    </row>
    <row r="201" spans="1:19" hidden="1" x14ac:dyDescent="0.25">
      <c r="A201" s="28">
        <v>2324035</v>
      </c>
      <c r="B201" s="15" t="s">
        <v>1291</v>
      </c>
      <c r="C201" s="19" t="s">
        <v>12</v>
      </c>
      <c r="D201" s="21" t="s">
        <v>1244</v>
      </c>
      <c r="E201" s="19" t="s">
        <v>1249</v>
      </c>
      <c r="F201" s="19"/>
      <c r="G201" s="19" t="s">
        <v>1251</v>
      </c>
      <c r="H201" s="19" t="s">
        <v>301</v>
      </c>
      <c r="I201" s="19"/>
      <c r="J201" s="19" t="s">
        <v>18</v>
      </c>
      <c r="K201" s="19" t="s">
        <v>18</v>
      </c>
      <c r="L201" s="19" t="s">
        <v>18</v>
      </c>
      <c r="M201" s="19" t="s">
        <v>19</v>
      </c>
      <c r="N201" s="19" t="s">
        <v>18</v>
      </c>
      <c r="O201" s="19" t="s">
        <v>19</v>
      </c>
      <c r="P201" s="19">
        <v>102.488889</v>
      </c>
      <c r="Q201" s="19">
        <v>2.3305560000000001</v>
      </c>
      <c r="R201" s="19"/>
      <c r="S201" s="19" t="s">
        <v>20</v>
      </c>
    </row>
    <row r="202" spans="1:19" hidden="1" x14ac:dyDescent="0.25">
      <c r="A202" s="28">
        <v>2325021</v>
      </c>
      <c r="B202" s="15" t="s">
        <v>2373</v>
      </c>
      <c r="C202" s="19" t="s">
        <v>12</v>
      </c>
      <c r="D202" s="21" t="s">
        <v>2011</v>
      </c>
      <c r="E202" s="19" t="s">
        <v>1346</v>
      </c>
      <c r="F202" s="19" t="s">
        <v>2258</v>
      </c>
      <c r="G202" s="19" t="s">
        <v>1346</v>
      </c>
      <c r="H202" s="19" t="s">
        <v>2374</v>
      </c>
      <c r="I202" s="19" t="s">
        <v>2107</v>
      </c>
      <c r="J202" s="19" t="s">
        <v>19</v>
      </c>
      <c r="K202" s="19" t="s">
        <v>19</v>
      </c>
      <c r="L202" s="19" t="s">
        <v>18</v>
      </c>
      <c r="M202" s="19" t="s">
        <v>19</v>
      </c>
      <c r="N202" s="19" t="s">
        <v>19</v>
      </c>
      <c r="O202" s="19"/>
      <c r="P202" s="19">
        <v>102.580556</v>
      </c>
      <c r="Q202" s="19">
        <v>2.329167</v>
      </c>
      <c r="R202" s="19" t="s">
        <v>164</v>
      </c>
      <c r="S202" s="19" t="s">
        <v>2375</v>
      </c>
    </row>
    <row r="203" spans="1:19" hidden="1" x14ac:dyDescent="0.25">
      <c r="A203" s="28">
        <v>2325034</v>
      </c>
      <c r="B203" s="15" t="s">
        <v>1292</v>
      </c>
      <c r="C203" s="19" t="s">
        <v>12</v>
      </c>
      <c r="D203" s="21" t="s">
        <v>1244</v>
      </c>
      <c r="E203" s="19" t="s">
        <v>1249</v>
      </c>
      <c r="F203" s="19"/>
      <c r="G203" s="19" t="s">
        <v>1251</v>
      </c>
      <c r="H203" s="19" t="s">
        <v>301</v>
      </c>
      <c r="I203" s="19"/>
      <c r="J203" s="19" t="s">
        <v>18</v>
      </c>
      <c r="K203" s="19" t="s">
        <v>18</v>
      </c>
      <c r="L203" s="19" t="s">
        <v>18</v>
      </c>
      <c r="M203" s="19" t="s">
        <v>19</v>
      </c>
      <c r="N203" s="19" t="s">
        <v>18</v>
      </c>
      <c r="O203" s="19" t="s">
        <v>19</v>
      </c>
      <c r="P203" s="19">
        <v>102.547222</v>
      </c>
      <c r="Q203" s="19">
        <v>2.394444</v>
      </c>
      <c r="R203" s="19"/>
      <c r="S203" s="19" t="s">
        <v>20</v>
      </c>
    </row>
    <row r="204" spans="1:19" hidden="1" x14ac:dyDescent="0.25">
      <c r="A204" s="28">
        <v>2326020</v>
      </c>
      <c r="B204" s="15" t="s">
        <v>2376</v>
      </c>
      <c r="C204" s="19" t="s">
        <v>12</v>
      </c>
      <c r="D204" s="21" t="s">
        <v>2011</v>
      </c>
      <c r="E204" s="19" t="s">
        <v>2377</v>
      </c>
      <c r="F204" s="19" t="s">
        <v>2336</v>
      </c>
      <c r="G204" s="19" t="s">
        <v>1346</v>
      </c>
      <c r="H204" s="19" t="s">
        <v>1284</v>
      </c>
      <c r="I204" s="19" t="s">
        <v>1581</v>
      </c>
      <c r="J204" s="19" t="s">
        <v>19</v>
      </c>
      <c r="K204" s="19" t="s">
        <v>19</v>
      </c>
      <c r="L204" s="19" t="s">
        <v>18</v>
      </c>
      <c r="M204" s="19" t="s">
        <v>19</v>
      </c>
      <c r="N204" s="19" t="s">
        <v>19</v>
      </c>
      <c r="O204" s="19"/>
      <c r="P204" s="19">
        <v>102.63888900000001</v>
      </c>
      <c r="Q204" s="19">
        <v>2.3458329999999998</v>
      </c>
      <c r="R204" s="19" t="s">
        <v>20</v>
      </c>
      <c r="S204" s="19" t="s">
        <v>1870</v>
      </c>
    </row>
    <row r="205" spans="1:19" hidden="1" x14ac:dyDescent="0.25">
      <c r="A205" s="28">
        <v>2326022</v>
      </c>
      <c r="B205" s="15" t="s">
        <v>2378</v>
      </c>
      <c r="C205" s="19" t="s">
        <v>12</v>
      </c>
      <c r="D205" s="21" t="s">
        <v>2011</v>
      </c>
      <c r="E205" s="19" t="s">
        <v>2377</v>
      </c>
      <c r="F205" s="19" t="s">
        <v>2379</v>
      </c>
      <c r="G205" s="19" t="s">
        <v>1346</v>
      </c>
      <c r="H205" s="19" t="s">
        <v>928</v>
      </c>
      <c r="I205" s="19"/>
      <c r="J205" s="19" t="s">
        <v>18</v>
      </c>
      <c r="K205" s="19" t="s">
        <v>18</v>
      </c>
      <c r="L205" s="19" t="s">
        <v>18</v>
      </c>
      <c r="M205" s="19" t="s">
        <v>19</v>
      </c>
      <c r="N205" s="19" t="s">
        <v>18</v>
      </c>
      <c r="O205" s="19"/>
      <c r="P205" s="19">
        <v>102.680556</v>
      </c>
      <c r="Q205" s="19">
        <v>2.3166669999999998</v>
      </c>
      <c r="R205" s="19" t="s">
        <v>20</v>
      </c>
      <c r="S205" s="19" t="s">
        <v>2380</v>
      </c>
    </row>
    <row r="206" spans="1:19" hidden="1" x14ac:dyDescent="0.25">
      <c r="A206" s="28">
        <v>2326023</v>
      </c>
      <c r="B206" s="15" t="s">
        <v>2381</v>
      </c>
      <c r="C206" s="19" t="s">
        <v>12</v>
      </c>
      <c r="D206" s="21" t="s">
        <v>2011</v>
      </c>
      <c r="E206" s="19" t="s">
        <v>2377</v>
      </c>
      <c r="F206" s="19" t="s">
        <v>2258</v>
      </c>
      <c r="G206" s="19" t="s">
        <v>1346</v>
      </c>
      <c r="H206" s="19" t="s">
        <v>459</v>
      </c>
      <c r="I206" s="19"/>
      <c r="J206" s="19" t="s">
        <v>18</v>
      </c>
      <c r="K206" s="19" t="s">
        <v>18</v>
      </c>
      <c r="L206" s="19" t="s">
        <v>18</v>
      </c>
      <c r="M206" s="19" t="s">
        <v>19</v>
      </c>
      <c r="N206" s="19" t="s">
        <v>18</v>
      </c>
      <c r="O206" s="19"/>
      <c r="P206" s="19">
        <v>102.69027800000001</v>
      </c>
      <c r="Q206" s="19">
        <v>2.3250000000000002</v>
      </c>
      <c r="R206" s="19" t="s">
        <v>20</v>
      </c>
      <c r="S206" s="19" t="s">
        <v>2144</v>
      </c>
    </row>
    <row r="207" spans="1:19" hidden="1" x14ac:dyDescent="0.25">
      <c r="A207" s="28">
        <v>2326024</v>
      </c>
      <c r="B207" s="15" t="s">
        <v>2382</v>
      </c>
      <c r="C207" s="19" t="s">
        <v>12</v>
      </c>
      <c r="D207" s="21" t="s">
        <v>2011</v>
      </c>
      <c r="E207" s="19" t="s">
        <v>2377</v>
      </c>
      <c r="F207" s="19" t="s">
        <v>2383</v>
      </c>
      <c r="G207" s="19" t="s">
        <v>2383</v>
      </c>
      <c r="H207" s="19"/>
      <c r="I207" s="19"/>
      <c r="J207" s="19" t="s">
        <v>19</v>
      </c>
      <c r="K207" s="19" t="s">
        <v>18</v>
      </c>
      <c r="L207" s="19" t="s">
        <v>19</v>
      </c>
      <c r="M207" s="19" t="s">
        <v>18</v>
      </c>
      <c r="N207" s="19" t="s">
        <v>19</v>
      </c>
      <c r="O207" s="19"/>
      <c r="P207" s="19">
        <v>102.604167</v>
      </c>
      <c r="Q207" s="19">
        <v>2.3672219999999999</v>
      </c>
      <c r="R207" s="19"/>
      <c r="S207" s="19" t="s">
        <v>1870</v>
      </c>
    </row>
    <row r="208" spans="1:19" hidden="1" x14ac:dyDescent="0.25">
      <c r="A208" s="28">
        <v>2326025</v>
      </c>
      <c r="B208" s="15" t="s">
        <v>2383</v>
      </c>
      <c r="C208" s="19" t="s">
        <v>12</v>
      </c>
      <c r="D208" s="21" t="s">
        <v>2011</v>
      </c>
      <c r="E208" s="19" t="s">
        <v>2377</v>
      </c>
      <c r="F208" s="19" t="s">
        <v>2384</v>
      </c>
      <c r="G208" s="19" t="s">
        <v>2384</v>
      </c>
      <c r="H208" s="19"/>
      <c r="I208" s="19"/>
      <c r="J208" s="19" t="s">
        <v>19</v>
      </c>
      <c r="K208" s="19" t="s">
        <v>18</v>
      </c>
      <c r="L208" s="19" t="s">
        <v>19</v>
      </c>
      <c r="M208" s="19" t="s">
        <v>18</v>
      </c>
      <c r="N208" s="19" t="s">
        <v>19</v>
      </c>
      <c r="O208" s="19"/>
      <c r="P208" s="19">
        <v>102.604167</v>
      </c>
      <c r="Q208" s="19">
        <v>2.3672219999999999</v>
      </c>
      <c r="R208" s="19"/>
      <c r="S208" s="19" t="s">
        <v>1870</v>
      </c>
    </row>
    <row r="209" spans="1:19" hidden="1" x14ac:dyDescent="0.25">
      <c r="A209" s="28">
        <v>2330009</v>
      </c>
      <c r="B209" s="15" t="s">
        <v>2385</v>
      </c>
      <c r="C209" s="19" t="s">
        <v>12</v>
      </c>
      <c r="D209" s="21" t="s">
        <v>2011</v>
      </c>
      <c r="E209" s="19" t="s">
        <v>2320</v>
      </c>
      <c r="F209" s="19" t="s">
        <v>2386</v>
      </c>
      <c r="G209" s="19" t="s">
        <v>1346</v>
      </c>
      <c r="H209" s="19" t="s">
        <v>1641</v>
      </c>
      <c r="I209" s="19"/>
      <c r="J209" s="19" t="s">
        <v>18</v>
      </c>
      <c r="K209" s="19" t="s">
        <v>18</v>
      </c>
      <c r="L209" s="19" t="s">
        <v>18</v>
      </c>
      <c r="M209" s="19" t="s">
        <v>18</v>
      </c>
      <c r="N209" s="19" t="s">
        <v>18</v>
      </c>
      <c r="O209" s="19"/>
      <c r="P209" s="19">
        <v>103.016667</v>
      </c>
      <c r="Q209" s="19">
        <v>2.384722</v>
      </c>
      <c r="R209" s="19" t="s">
        <v>41</v>
      </c>
      <c r="S209" s="19" t="s">
        <v>2387</v>
      </c>
    </row>
    <row r="210" spans="1:19" hidden="1" x14ac:dyDescent="0.25">
      <c r="A210" s="28">
        <v>2334002</v>
      </c>
      <c r="B210" s="15" t="s">
        <v>2661</v>
      </c>
      <c r="C210" s="19" t="s">
        <v>12</v>
      </c>
      <c r="D210" s="21" t="s">
        <v>2011</v>
      </c>
      <c r="E210" s="19" t="s">
        <v>2140</v>
      </c>
      <c r="F210" s="19" t="s">
        <v>2293</v>
      </c>
      <c r="G210" s="19" t="s">
        <v>1430</v>
      </c>
      <c r="H210" s="19" t="s">
        <v>2132</v>
      </c>
      <c r="I210" s="19"/>
      <c r="J210" s="19" t="s">
        <v>18</v>
      </c>
      <c r="K210" s="19" t="s">
        <v>18</v>
      </c>
      <c r="L210" s="19" t="s">
        <v>18</v>
      </c>
      <c r="M210" s="19" t="s">
        <v>19</v>
      </c>
      <c r="N210" s="19" t="s">
        <v>18</v>
      </c>
      <c r="O210" s="19"/>
      <c r="P210" s="19">
        <v>103.44583299999999</v>
      </c>
      <c r="Q210" s="19">
        <v>2.35</v>
      </c>
      <c r="R210" s="19" t="s">
        <v>41</v>
      </c>
      <c r="S210" s="19" t="s">
        <v>1870</v>
      </c>
    </row>
    <row r="211" spans="1:19" hidden="1" x14ac:dyDescent="0.25">
      <c r="A211" s="28">
        <v>2334003</v>
      </c>
      <c r="B211" s="15" t="s">
        <v>2388</v>
      </c>
      <c r="C211" s="19" t="s">
        <v>12</v>
      </c>
      <c r="D211" s="21" t="s">
        <v>2011</v>
      </c>
      <c r="E211" s="19" t="s">
        <v>2292</v>
      </c>
      <c r="F211" s="19" t="s">
        <v>2389</v>
      </c>
      <c r="G211" s="19" t="s">
        <v>1430</v>
      </c>
      <c r="H211" s="19" t="s">
        <v>1766</v>
      </c>
      <c r="I211" s="19" t="s">
        <v>2361</v>
      </c>
      <c r="J211" s="19" t="s">
        <v>19</v>
      </c>
      <c r="K211" s="19" t="s">
        <v>19</v>
      </c>
      <c r="L211" s="19" t="s">
        <v>18</v>
      </c>
      <c r="M211" s="19" t="s">
        <v>19</v>
      </c>
      <c r="N211" s="19" t="s">
        <v>19</v>
      </c>
      <c r="O211" s="19"/>
      <c r="P211" s="19">
        <v>103.45694399999999</v>
      </c>
      <c r="Q211" s="19">
        <v>2.3902779999999999</v>
      </c>
      <c r="R211" s="19" t="s">
        <v>41</v>
      </c>
      <c r="S211" s="19" t="s">
        <v>1870</v>
      </c>
    </row>
    <row r="212" spans="1:19" hidden="1" x14ac:dyDescent="0.25">
      <c r="A212" s="28">
        <v>2336001</v>
      </c>
      <c r="B212" s="15" t="s">
        <v>2390</v>
      </c>
      <c r="C212" s="19" t="s">
        <v>12</v>
      </c>
      <c r="D212" s="21" t="s">
        <v>2011</v>
      </c>
      <c r="E212" s="19" t="s">
        <v>2292</v>
      </c>
      <c r="F212" s="19" t="s">
        <v>2391</v>
      </c>
      <c r="G212" s="19" t="s">
        <v>2392</v>
      </c>
      <c r="H212" s="19" t="s">
        <v>1427</v>
      </c>
      <c r="I212" s="19"/>
      <c r="J212" s="19" t="s">
        <v>18</v>
      </c>
      <c r="K212" s="19" t="s">
        <v>18</v>
      </c>
      <c r="L212" s="19" t="s">
        <v>18</v>
      </c>
      <c r="M212" s="19" t="s">
        <v>19</v>
      </c>
      <c r="N212" s="19" t="s">
        <v>18</v>
      </c>
      <c r="O212" s="19"/>
      <c r="P212" s="19">
        <v>103.723333</v>
      </c>
      <c r="Q212" s="19">
        <v>2.2400000000000002</v>
      </c>
      <c r="R212" s="19" t="s">
        <v>2393</v>
      </c>
      <c r="S212" s="19" t="s">
        <v>1870</v>
      </c>
    </row>
    <row r="213" spans="1:19" hidden="1" x14ac:dyDescent="0.25">
      <c r="A213" s="29">
        <v>2418034</v>
      </c>
      <c r="B213" s="25" t="s">
        <v>1302</v>
      </c>
      <c r="C213" s="26" t="s">
        <v>12</v>
      </c>
      <c r="D213" s="24" t="s">
        <v>1303</v>
      </c>
      <c r="E213" s="26" t="s">
        <v>1304</v>
      </c>
      <c r="F213" s="26" t="s">
        <v>1305</v>
      </c>
      <c r="G213" s="26" t="s">
        <v>1277</v>
      </c>
      <c r="H213" s="26" t="s">
        <v>145</v>
      </c>
      <c r="I213" s="26"/>
      <c r="J213" s="26" t="s">
        <v>18</v>
      </c>
      <c r="K213" s="26" t="s">
        <v>18</v>
      </c>
      <c r="L213" s="26" t="s">
        <v>18</v>
      </c>
      <c r="M213" s="26" t="s">
        <v>19</v>
      </c>
      <c r="N213" s="26" t="s">
        <v>18</v>
      </c>
      <c r="O213" s="26" t="s">
        <v>19</v>
      </c>
      <c r="P213" s="26">
        <v>101.870833</v>
      </c>
      <c r="Q213" s="26">
        <v>2.427778</v>
      </c>
      <c r="R213" s="26"/>
      <c r="S213" s="26" t="s">
        <v>1306</v>
      </c>
    </row>
    <row r="214" spans="1:19" hidden="1" x14ac:dyDescent="0.25">
      <c r="A214" s="29">
        <v>2419054</v>
      </c>
      <c r="B214" s="25" t="s">
        <v>1307</v>
      </c>
      <c r="C214" s="26" t="s">
        <v>12</v>
      </c>
      <c r="D214" s="24" t="s">
        <v>1303</v>
      </c>
      <c r="E214" s="26" t="s">
        <v>1304</v>
      </c>
      <c r="F214" s="26" t="s">
        <v>1305</v>
      </c>
      <c r="G214" s="26" t="s">
        <v>1277</v>
      </c>
      <c r="H214" s="26" t="s">
        <v>332</v>
      </c>
      <c r="I214" s="26"/>
      <c r="J214" s="26" t="s">
        <v>18</v>
      </c>
      <c r="K214" s="26" t="s">
        <v>18</v>
      </c>
      <c r="L214" s="26" t="s">
        <v>18</v>
      </c>
      <c r="M214" s="26" t="s">
        <v>19</v>
      </c>
      <c r="N214" s="26" t="s">
        <v>19</v>
      </c>
      <c r="O214" s="26" t="s">
        <v>19</v>
      </c>
      <c r="P214" s="26">
        <v>101.96250000000001</v>
      </c>
      <c r="Q214" s="26">
        <v>2.4347219999999998</v>
      </c>
      <c r="R214" s="26"/>
      <c r="S214" s="26" t="s">
        <v>20</v>
      </c>
    </row>
    <row r="215" spans="1:19" hidden="1" x14ac:dyDescent="0.25">
      <c r="A215" s="29">
        <v>2420052</v>
      </c>
      <c r="B215" s="25" t="s">
        <v>1308</v>
      </c>
      <c r="C215" s="26" t="s">
        <v>12</v>
      </c>
      <c r="D215" s="24" t="s">
        <v>1303</v>
      </c>
      <c r="E215" s="26" t="s">
        <v>1309</v>
      </c>
      <c r="F215" s="26" t="s">
        <v>1310</v>
      </c>
      <c r="G215" s="26" t="s">
        <v>1277</v>
      </c>
      <c r="H215" s="26" t="s">
        <v>1311</v>
      </c>
      <c r="I215" s="26"/>
      <c r="J215" s="26" t="s">
        <v>18</v>
      </c>
      <c r="K215" s="26" t="s">
        <v>18</v>
      </c>
      <c r="L215" s="26" t="s">
        <v>18</v>
      </c>
      <c r="M215" s="26" t="s">
        <v>19</v>
      </c>
      <c r="N215" s="26" t="s">
        <v>19</v>
      </c>
      <c r="O215" s="26" t="s">
        <v>19</v>
      </c>
      <c r="P215" s="26">
        <v>102.083333</v>
      </c>
      <c r="Q215" s="26">
        <v>2.4777779999999998</v>
      </c>
      <c r="R215" s="26"/>
      <c r="S215" s="26" t="s">
        <v>20</v>
      </c>
    </row>
    <row r="216" spans="1:19" hidden="1" x14ac:dyDescent="0.25">
      <c r="A216" s="29">
        <v>2420053</v>
      </c>
      <c r="B216" s="25" t="s">
        <v>1312</v>
      </c>
      <c r="C216" s="26" t="s">
        <v>12</v>
      </c>
      <c r="D216" s="24" t="s">
        <v>1303</v>
      </c>
      <c r="E216" s="26" t="s">
        <v>1309</v>
      </c>
      <c r="F216" s="26" t="s">
        <v>1305</v>
      </c>
      <c r="G216" s="26" t="s">
        <v>1277</v>
      </c>
      <c r="H216" s="26" t="s">
        <v>106</v>
      </c>
      <c r="I216" s="26"/>
      <c r="J216" s="26" t="s">
        <v>18</v>
      </c>
      <c r="K216" s="26" t="s">
        <v>18</v>
      </c>
      <c r="L216" s="26" t="s">
        <v>18</v>
      </c>
      <c r="M216" s="26" t="s">
        <v>19</v>
      </c>
      <c r="N216" s="26" t="s">
        <v>19</v>
      </c>
      <c r="O216" s="26" t="s">
        <v>19</v>
      </c>
      <c r="P216" s="26">
        <v>102.04861099999999</v>
      </c>
      <c r="Q216" s="26">
        <v>2.4777779999999998</v>
      </c>
      <c r="R216" s="26"/>
      <c r="S216" s="26" t="s">
        <v>20</v>
      </c>
    </row>
    <row r="217" spans="1:19" hidden="1" x14ac:dyDescent="0.25">
      <c r="A217" s="29">
        <v>2421001</v>
      </c>
      <c r="B217" s="25" t="s">
        <v>1313</v>
      </c>
      <c r="C217" s="26" t="s">
        <v>12</v>
      </c>
      <c r="D217" s="24" t="s">
        <v>1303</v>
      </c>
      <c r="E217" s="26" t="s">
        <v>1309</v>
      </c>
      <c r="F217" s="26" t="s">
        <v>1314</v>
      </c>
      <c r="G217" s="26" t="s">
        <v>1305</v>
      </c>
      <c r="H217" s="26"/>
      <c r="I217" s="26"/>
      <c r="J217" s="26" t="s">
        <v>19</v>
      </c>
      <c r="K217" s="26" t="s">
        <v>18</v>
      </c>
      <c r="L217" s="26" t="s">
        <v>19</v>
      </c>
      <c r="M217" s="26" t="s">
        <v>18</v>
      </c>
      <c r="N217" s="26" t="s">
        <v>19</v>
      </c>
      <c r="O217" s="26" t="s">
        <v>19</v>
      </c>
      <c r="P217" s="26">
        <v>102.100014</v>
      </c>
      <c r="Q217" s="26">
        <v>2.4730279999999998</v>
      </c>
      <c r="R217" s="26"/>
      <c r="S217" s="26"/>
    </row>
    <row r="218" spans="1:19" hidden="1" x14ac:dyDescent="0.25">
      <c r="A218" s="28">
        <v>2421003</v>
      </c>
      <c r="B218" s="15" t="s">
        <v>1293</v>
      </c>
      <c r="C218" s="19" t="s">
        <v>12</v>
      </c>
      <c r="D218" s="21" t="s">
        <v>1244</v>
      </c>
      <c r="E218" s="19" t="s">
        <v>1262</v>
      </c>
      <c r="F218" s="19" t="s">
        <v>1294</v>
      </c>
      <c r="G218" s="19"/>
      <c r="H218" s="19" t="s">
        <v>686</v>
      </c>
      <c r="I218" s="19"/>
      <c r="J218" s="19" t="s">
        <v>18</v>
      </c>
      <c r="K218" s="19" t="s">
        <v>18</v>
      </c>
      <c r="L218" s="19" t="s">
        <v>18</v>
      </c>
      <c r="M218" s="19" t="s">
        <v>19</v>
      </c>
      <c r="N218" s="19" t="s">
        <v>18</v>
      </c>
      <c r="O218" s="19" t="s">
        <v>19</v>
      </c>
      <c r="P218" s="19">
        <v>102.186111</v>
      </c>
      <c r="Q218" s="19">
        <v>2.4388890000000001</v>
      </c>
      <c r="R218" s="19"/>
      <c r="S218" s="19" t="s">
        <v>41</v>
      </c>
    </row>
    <row r="219" spans="1:19" hidden="1" x14ac:dyDescent="0.25">
      <c r="A219" s="28">
        <v>2421004</v>
      </c>
      <c r="B219" s="15" t="s">
        <v>1295</v>
      </c>
      <c r="C219" s="19" t="s">
        <v>12</v>
      </c>
      <c r="D219" s="21" t="s">
        <v>1244</v>
      </c>
      <c r="E219" s="19" t="s">
        <v>1262</v>
      </c>
      <c r="F219" s="19" t="s">
        <v>1287</v>
      </c>
      <c r="G219" s="19"/>
      <c r="H219" s="19" t="s">
        <v>1288</v>
      </c>
      <c r="I219" s="19"/>
      <c r="J219" s="19" t="s">
        <v>19</v>
      </c>
      <c r="K219" s="19" t="s">
        <v>18</v>
      </c>
      <c r="L219" s="19" t="s">
        <v>19</v>
      </c>
      <c r="M219" s="19" t="s">
        <v>19</v>
      </c>
      <c r="N219" s="19" t="s">
        <v>18</v>
      </c>
      <c r="O219" s="19" t="s">
        <v>19</v>
      </c>
      <c r="P219" s="19">
        <v>102.114417</v>
      </c>
      <c r="Q219" s="19">
        <v>2.4436110000000002</v>
      </c>
      <c r="R219" s="19"/>
      <c r="S219" s="19" t="s">
        <v>41</v>
      </c>
    </row>
    <row r="220" spans="1:19" hidden="1" x14ac:dyDescent="0.25">
      <c r="A220" s="28">
        <v>2422002</v>
      </c>
      <c r="B220" s="15" t="s">
        <v>1296</v>
      </c>
      <c r="C220" s="19" t="s">
        <v>12</v>
      </c>
      <c r="D220" s="21" t="s">
        <v>1244</v>
      </c>
      <c r="E220" s="19" t="s">
        <v>1262</v>
      </c>
      <c r="F220" s="19"/>
      <c r="G220" s="19"/>
      <c r="H220" s="19" t="s">
        <v>301</v>
      </c>
      <c r="I220" s="19" t="s">
        <v>1288</v>
      </c>
      <c r="J220" s="19" t="s">
        <v>19</v>
      </c>
      <c r="K220" s="19" t="s">
        <v>19</v>
      </c>
      <c r="L220" s="19" t="s">
        <v>18</v>
      </c>
      <c r="M220" s="19" t="s">
        <v>19</v>
      </c>
      <c r="N220" s="19" t="s">
        <v>18</v>
      </c>
      <c r="O220" s="19" t="s">
        <v>19</v>
      </c>
      <c r="P220" s="19">
        <v>102.20694399999999</v>
      </c>
      <c r="Q220" s="19">
        <v>2.4263889999999999</v>
      </c>
      <c r="R220" s="19"/>
      <c r="S220" s="19" t="s">
        <v>20</v>
      </c>
    </row>
    <row r="221" spans="1:19" hidden="1" x14ac:dyDescent="0.25">
      <c r="A221" s="28">
        <v>2422004</v>
      </c>
      <c r="B221" s="15" t="s">
        <v>1297</v>
      </c>
      <c r="C221" s="19" t="s">
        <v>12</v>
      </c>
      <c r="D221" s="21" t="s">
        <v>1244</v>
      </c>
      <c r="E221" s="19" t="s">
        <v>1262</v>
      </c>
      <c r="F221" s="19"/>
      <c r="G221" s="19"/>
      <c r="H221" s="19"/>
      <c r="I221" s="19"/>
      <c r="J221" s="19" t="s">
        <v>19</v>
      </c>
      <c r="K221" s="19" t="s">
        <v>18</v>
      </c>
      <c r="L221" s="19" t="s">
        <v>19</v>
      </c>
      <c r="M221" s="19" t="s">
        <v>19</v>
      </c>
      <c r="N221" s="19" t="s">
        <v>18</v>
      </c>
      <c r="O221" s="19" t="s">
        <v>19</v>
      </c>
      <c r="P221" s="19">
        <v>102.241028</v>
      </c>
      <c r="Q221" s="19">
        <v>2.4413610000000001</v>
      </c>
      <c r="R221" s="19"/>
      <c r="S221" s="19"/>
    </row>
    <row r="222" spans="1:19" hidden="1" x14ac:dyDescent="0.25">
      <c r="A222" s="29">
        <v>2422062</v>
      </c>
      <c r="B222" s="25" t="s">
        <v>1315</v>
      </c>
      <c r="C222" s="26" t="s">
        <v>12</v>
      </c>
      <c r="D222" s="24" t="s">
        <v>1303</v>
      </c>
      <c r="E222" s="26" t="s">
        <v>1316</v>
      </c>
      <c r="F222" s="26"/>
      <c r="G222" s="26"/>
      <c r="H222" s="26" t="s">
        <v>471</v>
      </c>
      <c r="I222" s="26"/>
      <c r="J222" s="26" t="s">
        <v>18</v>
      </c>
      <c r="K222" s="26" t="s">
        <v>18</v>
      </c>
      <c r="L222" s="26" t="s">
        <v>18</v>
      </c>
      <c r="M222" s="26" t="s">
        <v>19</v>
      </c>
      <c r="N222" s="26" t="s">
        <v>18</v>
      </c>
      <c r="O222" s="26" t="s">
        <v>19</v>
      </c>
      <c r="P222" s="26">
        <v>102.23055600000001</v>
      </c>
      <c r="Q222" s="26">
        <v>2.473611</v>
      </c>
      <c r="R222" s="26"/>
      <c r="S222" s="26" t="s">
        <v>41</v>
      </c>
    </row>
    <row r="223" spans="1:19" hidden="1" x14ac:dyDescent="0.25">
      <c r="A223" s="28">
        <v>2423001</v>
      </c>
      <c r="B223" s="15" t="s">
        <v>1298</v>
      </c>
      <c r="C223" s="19" t="s">
        <v>12</v>
      </c>
      <c r="D223" s="21" t="s">
        <v>1244</v>
      </c>
      <c r="E223" s="19" t="s">
        <v>1262</v>
      </c>
      <c r="F223" s="19"/>
      <c r="G223" s="19"/>
      <c r="H223" s="19" t="s">
        <v>301</v>
      </c>
      <c r="I223" s="19"/>
      <c r="J223" s="19" t="s">
        <v>18</v>
      </c>
      <c r="K223" s="19" t="s">
        <v>18</v>
      </c>
      <c r="L223" s="19" t="s">
        <v>18</v>
      </c>
      <c r="M223" s="19" t="s">
        <v>19</v>
      </c>
      <c r="N223" s="19" t="s">
        <v>18</v>
      </c>
      <c r="O223" s="19" t="s">
        <v>19</v>
      </c>
      <c r="P223" s="19">
        <v>102.327778</v>
      </c>
      <c r="Q223" s="19">
        <v>2.4416669999999998</v>
      </c>
      <c r="R223" s="19"/>
      <c r="S223" s="19" t="s">
        <v>20</v>
      </c>
    </row>
    <row r="224" spans="1:19" hidden="1" x14ac:dyDescent="0.25">
      <c r="A224" s="28">
        <v>2424031</v>
      </c>
      <c r="B224" s="15" t="s">
        <v>1299</v>
      </c>
      <c r="C224" s="19" t="s">
        <v>12</v>
      </c>
      <c r="D224" s="21" t="s">
        <v>1244</v>
      </c>
      <c r="E224" s="19" t="s">
        <v>1249</v>
      </c>
      <c r="F224" s="19" t="s">
        <v>1300</v>
      </c>
      <c r="G224" s="19"/>
      <c r="H224" s="19" t="s">
        <v>1301</v>
      </c>
      <c r="I224" s="19"/>
      <c r="J224" s="19" t="s">
        <v>18</v>
      </c>
      <c r="K224" s="19" t="s">
        <v>18</v>
      </c>
      <c r="L224" s="19" t="s">
        <v>18</v>
      </c>
      <c r="M224" s="19" t="s">
        <v>19</v>
      </c>
      <c r="N224" s="19" t="s">
        <v>18</v>
      </c>
      <c r="O224" s="19" t="s">
        <v>19</v>
      </c>
      <c r="P224" s="19">
        <v>102.476389</v>
      </c>
      <c r="Q224" s="19">
        <v>2.4305560000000002</v>
      </c>
      <c r="R224" s="19"/>
      <c r="S224" s="19" t="s">
        <v>41</v>
      </c>
    </row>
    <row r="225" spans="1:19" hidden="1" x14ac:dyDescent="0.25">
      <c r="A225" s="29">
        <v>2424087</v>
      </c>
      <c r="B225" s="25" t="s">
        <v>1317</v>
      </c>
      <c r="C225" s="26" t="s">
        <v>12</v>
      </c>
      <c r="D225" s="24" t="s">
        <v>1303</v>
      </c>
      <c r="E225" s="26" t="s">
        <v>1316</v>
      </c>
      <c r="F225" s="26"/>
      <c r="G225" s="26" t="s">
        <v>1251</v>
      </c>
      <c r="H225" s="26" t="s">
        <v>99</v>
      </c>
      <c r="I225" s="26"/>
      <c r="J225" s="26" t="s">
        <v>18</v>
      </c>
      <c r="K225" s="26" t="s">
        <v>18</v>
      </c>
      <c r="L225" s="26" t="s">
        <v>18</v>
      </c>
      <c r="M225" s="26" t="s">
        <v>19</v>
      </c>
      <c r="N225" s="26" t="s">
        <v>19</v>
      </c>
      <c r="O225" s="26" t="s">
        <v>19</v>
      </c>
      <c r="P225" s="26">
        <v>102.483333</v>
      </c>
      <c r="Q225" s="26">
        <v>2.4652780000000001</v>
      </c>
      <c r="R225" s="26"/>
      <c r="S225" s="26" t="s">
        <v>20</v>
      </c>
    </row>
    <row r="226" spans="1:19" hidden="1" x14ac:dyDescent="0.25">
      <c r="A226" s="28">
        <v>2426005</v>
      </c>
      <c r="B226" s="15" t="s">
        <v>2394</v>
      </c>
      <c r="C226" s="19" t="s">
        <v>12</v>
      </c>
      <c r="D226" s="21" t="s">
        <v>2011</v>
      </c>
      <c r="E226" s="19" t="s">
        <v>2292</v>
      </c>
      <c r="F226" s="19" t="s">
        <v>2395</v>
      </c>
      <c r="G226" s="19" t="s">
        <v>1430</v>
      </c>
      <c r="H226" s="19" t="s">
        <v>2260</v>
      </c>
      <c r="I226" s="19"/>
      <c r="J226" s="19" t="s">
        <v>18</v>
      </c>
      <c r="K226" s="19" t="s">
        <v>18</v>
      </c>
      <c r="L226" s="19" t="s">
        <v>18</v>
      </c>
      <c r="M226" s="19" t="s">
        <v>19</v>
      </c>
      <c r="N226" s="19" t="s">
        <v>19</v>
      </c>
      <c r="O226" s="19"/>
      <c r="P226" s="19">
        <v>102.686111</v>
      </c>
      <c r="Q226" s="19">
        <v>2.4513889999999998</v>
      </c>
      <c r="R226" s="19" t="s">
        <v>544</v>
      </c>
      <c r="S226" s="19" t="s">
        <v>2340</v>
      </c>
    </row>
    <row r="227" spans="1:19" hidden="1" x14ac:dyDescent="0.25">
      <c r="A227" s="28">
        <v>2427001</v>
      </c>
      <c r="B227" s="15" t="s">
        <v>2396</v>
      </c>
      <c r="C227" s="19" t="s">
        <v>12</v>
      </c>
      <c r="D227" s="21" t="s">
        <v>2011</v>
      </c>
      <c r="E227" s="19" t="s">
        <v>2320</v>
      </c>
      <c r="F227" s="19" t="s">
        <v>2258</v>
      </c>
      <c r="G227" s="19" t="s">
        <v>1346</v>
      </c>
      <c r="H227" s="19" t="s">
        <v>278</v>
      </c>
      <c r="I227" s="19"/>
      <c r="J227" s="19" t="s">
        <v>18</v>
      </c>
      <c r="K227" s="19" t="s">
        <v>18</v>
      </c>
      <c r="L227" s="19" t="s">
        <v>18</v>
      </c>
      <c r="M227" s="19" t="s">
        <v>19</v>
      </c>
      <c r="N227" s="19" t="s">
        <v>19</v>
      </c>
      <c r="O227" s="19"/>
      <c r="P227" s="19">
        <v>102.779167</v>
      </c>
      <c r="Q227" s="19">
        <v>2.4166669999999999</v>
      </c>
      <c r="R227" s="19" t="s">
        <v>2397</v>
      </c>
      <c r="S227" s="19" t="s">
        <v>1870</v>
      </c>
    </row>
    <row r="228" spans="1:19" hidden="1" x14ac:dyDescent="0.25">
      <c r="A228" s="28">
        <v>2428011</v>
      </c>
      <c r="B228" s="15" t="s">
        <v>2398</v>
      </c>
      <c r="C228" s="19" t="s">
        <v>12</v>
      </c>
      <c r="D228" s="21" t="s">
        <v>2011</v>
      </c>
      <c r="E228" s="19" t="s">
        <v>2320</v>
      </c>
      <c r="F228" s="19" t="s">
        <v>2399</v>
      </c>
      <c r="G228" s="19" t="s">
        <v>1346</v>
      </c>
      <c r="H228" s="19" t="s">
        <v>1641</v>
      </c>
      <c r="I228" s="19"/>
      <c r="J228" s="19" t="s">
        <v>18</v>
      </c>
      <c r="K228" s="19" t="s">
        <v>18</v>
      </c>
      <c r="L228" s="19" t="s">
        <v>18</v>
      </c>
      <c r="M228" s="19" t="s">
        <v>19</v>
      </c>
      <c r="N228" s="19" t="s">
        <v>18</v>
      </c>
      <c r="O228" s="19"/>
      <c r="P228" s="19">
        <v>102.88333299999999</v>
      </c>
      <c r="Q228" s="19">
        <v>2.4916670000000001</v>
      </c>
      <c r="R228" s="19" t="s">
        <v>20</v>
      </c>
      <c r="S228" s="19" t="s">
        <v>2080</v>
      </c>
    </row>
    <row r="229" spans="1:19" hidden="1" x14ac:dyDescent="0.25">
      <c r="A229" s="28">
        <v>2428013</v>
      </c>
      <c r="B229" s="15" t="s">
        <v>2400</v>
      </c>
      <c r="C229" s="19" t="s">
        <v>12</v>
      </c>
      <c r="D229" s="21" t="s">
        <v>2011</v>
      </c>
      <c r="E229" s="19" t="s">
        <v>2320</v>
      </c>
      <c r="F229" s="19" t="s">
        <v>2368</v>
      </c>
      <c r="G229" s="19" t="s">
        <v>1346</v>
      </c>
      <c r="H229" s="19" t="s">
        <v>1360</v>
      </c>
      <c r="I229" s="19"/>
      <c r="J229" s="19" t="s">
        <v>18</v>
      </c>
      <c r="K229" s="19" t="s">
        <v>18</v>
      </c>
      <c r="L229" s="19" t="s">
        <v>18</v>
      </c>
      <c r="M229" s="19" t="s">
        <v>19</v>
      </c>
      <c r="N229" s="19" t="s">
        <v>18</v>
      </c>
      <c r="O229" s="19"/>
      <c r="P229" s="19">
        <v>102.875</v>
      </c>
      <c r="Q229" s="19">
        <v>2.427778</v>
      </c>
      <c r="R229" s="19" t="s">
        <v>20</v>
      </c>
      <c r="S229" s="19" t="s">
        <v>2401</v>
      </c>
    </row>
    <row r="230" spans="1:19" hidden="1" x14ac:dyDescent="0.25">
      <c r="A230" s="28">
        <v>2429010</v>
      </c>
      <c r="B230" s="15" t="s">
        <v>2402</v>
      </c>
      <c r="C230" s="19" t="s">
        <v>12</v>
      </c>
      <c r="D230" s="21" t="s">
        <v>2011</v>
      </c>
      <c r="E230" s="19" t="s">
        <v>2320</v>
      </c>
      <c r="F230" s="19" t="s">
        <v>2399</v>
      </c>
      <c r="G230" s="19" t="s">
        <v>1346</v>
      </c>
      <c r="H230" s="19" t="s">
        <v>2403</v>
      </c>
      <c r="I230" s="19" t="s">
        <v>2404</v>
      </c>
      <c r="J230" s="19" t="s">
        <v>19</v>
      </c>
      <c r="K230" s="19" t="s">
        <v>19</v>
      </c>
      <c r="L230" s="19" t="s">
        <v>18</v>
      </c>
      <c r="M230" s="19" t="s">
        <v>19</v>
      </c>
      <c r="N230" s="19" t="s">
        <v>19</v>
      </c>
      <c r="O230" s="19"/>
      <c r="P230" s="19">
        <v>102.925</v>
      </c>
      <c r="Q230" s="19">
        <v>2.4708329999999998</v>
      </c>
      <c r="R230" s="19" t="s">
        <v>20</v>
      </c>
      <c r="S230" s="19" t="s">
        <v>2277</v>
      </c>
    </row>
    <row r="231" spans="1:19" hidden="1" x14ac:dyDescent="0.25">
      <c r="A231" s="28">
        <v>2430001</v>
      </c>
      <c r="B231" s="15" t="s">
        <v>2405</v>
      </c>
      <c r="C231" s="19" t="s">
        <v>12</v>
      </c>
      <c r="D231" s="21" t="s">
        <v>2011</v>
      </c>
      <c r="E231" s="19" t="s">
        <v>2320</v>
      </c>
      <c r="F231" s="19" t="s">
        <v>2406</v>
      </c>
      <c r="G231" s="19" t="s">
        <v>1346</v>
      </c>
      <c r="H231" s="19" t="s">
        <v>1804</v>
      </c>
      <c r="I231" s="19" t="s">
        <v>2057</v>
      </c>
      <c r="J231" s="19" t="s">
        <v>19</v>
      </c>
      <c r="K231" s="19" t="s">
        <v>19</v>
      </c>
      <c r="L231" s="19" t="s">
        <v>18</v>
      </c>
      <c r="M231" s="19" t="s">
        <v>19</v>
      </c>
      <c r="N231" s="19" t="s">
        <v>19</v>
      </c>
      <c r="O231" s="19"/>
      <c r="P231" s="19">
        <v>103.072222</v>
      </c>
      <c r="Q231" s="19">
        <v>2.4763890000000002</v>
      </c>
      <c r="R231" s="19" t="s">
        <v>41</v>
      </c>
      <c r="S231" s="19" t="s">
        <v>1870</v>
      </c>
    </row>
    <row r="232" spans="1:19" hidden="1" x14ac:dyDescent="0.25">
      <c r="A232" s="28">
        <v>2430008</v>
      </c>
      <c r="B232" s="15" t="s">
        <v>2407</v>
      </c>
      <c r="C232" s="19" t="s">
        <v>12</v>
      </c>
      <c r="D232" s="21" t="s">
        <v>2011</v>
      </c>
      <c r="E232" s="19" t="s">
        <v>2320</v>
      </c>
      <c r="F232" s="19" t="s">
        <v>2408</v>
      </c>
      <c r="G232" s="19" t="s">
        <v>1346</v>
      </c>
      <c r="H232" s="19" t="s">
        <v>163</v>
      </c>
      <c r="I232" s="19" t="s">
        <v>302</v>
      </c>
      <c r="J232" s="19" t="s">
        <v>19</v>
      </c>
      <c r="K232" s="19" t="s">
        <v>19</v>
      </c>
      <c r="L232" s="19" t="s">
        <v>18</v>
      </c>
      <c r="M232" s="19" t="s">
        <v>19</v>
      </c>
      <c r="N232" s="19" t="s">
        <v>19</v>
      </c>
      <c r="O232" s="19"/>
      <c r="P232" s="19">
        <v>103.052778</v>
      </c>
      <c r="Q232" s="19">
        <v>2.4750000000000001</v>
      </c>
      <c r="R232" s="19" t="s">
        <v>41</v>
      </c>
      <c r="S232" s="19" t="s">
        <v>62</v>
      </c>
    </row>
    <row r="233" spans="1:19" hidden="1" x14ac:dyDescent="0.25">
      <c r="A233" s="28">
        <v>2430009</v>
      </c>
      <c r="B233" s="15" t="s">
        <v>1207</v>
      </c>
      <c r="C233" s="19" t="s">
        <v>12</v>
      </c>
      <c r="D233" s="21" t="s">
        <v>2011</v>
      </c>
      <c r="E233" s="19" t="s">
        <v>2320</v>
      </c>
      <c r="F233" s="19" t="s">
        <v>2368</v>
      </c>
      <c r="G233" s="19" t="s">
        <v>2409</v>
      </c>
      <c r="H233" s="19"/>
      <c r="I233" s="19"/>
      <c r="J233" s="19" t="s">
        <v>19</v>
      </c>
      <c r="K233" s="19" t="s">
        <v>18</v>
      </c>
      <c r="L233" s="19" t="s">
        <v>19</v>
      </c>
      <c r="M233" s="19" t="s">
        <v>18</v>
      </c>
      <c r="N233" s="19" t="s">
        <v>19</v>
      </c>
      <c r="O233" s="19"/>
      <c r="P233" s="19">
        <v>103.066667</v>
      </c>
      <c r="Q233" s="19">
        <v>2.4750000000000001</v>
      </c>
      <c r="R233" s="19"/>
      <c r="S233" s="19" t="s">
        <v>1870</v>
      </c>
    </row>
    <row r="234" spans="1:19" hidden="1" x14ac:dyDescent="0.25">
      <c r="A234" s="28">
        <v>2438001</v>
      </c>
      <c r="B234" s="15" t="s">
        <v>2410</v>
      </c>
      <c r="C234" s="19" t="s">
        <v>12</v>
      </c>
      <c r="D234" s="21" t="s">
        <v>2011</v>
      </c>
      <c r="E234" s="19" t="s">
        <v>2292</v>
      </c>
      <c r="F234" s="19" t="s">
        <v>2411</v>
      </c>
      <c r="G234" s="19" t="s">
        <v>2292</v>
      </c>
      <c r="H234" s="19" t="s">
        <v>1360</v>
      </c>
      <c r="I234" s="19"/>
      <c r="J234" s="19" t="s">
        <v>18</v>
      </c>
      <c r="K234" s="19" t="s">
        <v>18</v>
      </c>
      <c r="L234" s="19" t="s">
        <v>18</v>
      </c>
      <c r="M234" s="19" t="s">
        <v>19</v>
      </c>
      <c r="N234" s="19" t="s">
        <v>18</v>
      </c>
      <c r="O234" s="19"/>
      <c r="P234" s="19">
        <v>103.813889</v>
      </c>
      <c r="Q234" s="19">
        <v>2.473611</v>
      </c>
      <c r="R234" s="19" t="s">
        <v>41</v>
      </c>
      <c r="S234" s="19" t="s">
        <v>1870</v>
      </c>
    </row>
    <row r="235" spans="1:19" hidden="1" x14ac:dyDescent="0.25">
      <c r="A235" s="28">
        <v>2438184</v>
      </c>
      <c r="B235" s="15" t="s">
        <v>2412</v>
      </c>
      <c r="C235" s="19" t="s">
        <v>12</v>
      </c>
      <c r="D235" s="21" t="s">
        <v>2011</v>
      </c>
      <c r="E235" s="19" t="s">
        <v>2292</v>
      </c>
      <c r="F235" s="19" t="s">
        <v>2413</v>
      </c>
      <c r="G235" s="19" t="s">
        <v>2414</v>
      </c>
      <c r="H235" s="19" t="s">
        <v>1740</v>
      </c>
      <c r="I235" s="19" t="s">
        <v>969</v>
      </c>
      <c r="J235" s="19" t="s">
        <v>19</v>
      </c>
      <c r="K235" s="19" t="s">
        <v>19</v>
      </c>
      <c r="L235" s="19" t="s">
        <v>18</v>
      </c>
      <c r="M235" s="19" t="s">
        <v>19</v>
      </c>
      <c r="N235" s="19" t="s">
        <v>19</v>
      </c>
      <c r="O235" s="19"/>
      <c r="P235" s="19">
        <v>103.819444</v>
      </c>
      <c r="Q235" s="19">
        <v>2.4694440000000002</v>
      </c>
      <c r="R235" s="19" t="s">
        <v>41</v>
      </c>
      <c r="S235" s="19" t="s">
        <v>1870</v>
      </c>
    </row>
    <row r="236" spans="1:19" hidden="1" x14ac:dyDescent="0.25">
      <c r="A236" s="28">
        <v>2438185</v>
      </c>
      <c r="B236" s="15" t="s">
        <v>2415</v>
      </c>
      <c r="C236" s="19" t="s">
        <v>12</v>
      </c>
      <c r="D236" s="21" t="s">
        <v>2011</v>
      </c>
      <c r="E236" s="19" t="s">
        <v>2292</v>
      </c>
      <c r="F236" s="19" t="s">
        <v>2411</v>
      </c>
      <c r="G236" s="19" t="s">
        <v>2411</v>
      </c>
      <c r="H236" s="19" t="s">
        <v>301</v>
      </c>
      <c r="I236" s="19" t="s">
        <v>2416</v>
      </c>
      <c r="J236" s="19" t="s">
        <v>19</v>
      </c>
      <c r="K236" s="19" t="s">
        <v>19</v>
      </c>
      <c r="L236" s="19" t="s">
        <v>18</v>
      </c>
      <c r="M236" s="19" t="s">
        <v>19</v>
      </c>
      <c r="N236" s="19" t="s">
        <v>19</v>
      </c>
      <c r="O236" s="19"/>
      <c r="P236" s="19">
        <v>103.83194399999999</v>
      </c>
      <c r="Q236" s="19">
        <v>2.4458329999999999</v>
      </c>
      <c r="R236" s="19" t="s">
        <v>221</v>
      </c>
      <c r="S236" s="19" t="s">
        <v>2110</v>
      </c>
    </row>
    <row r="237" spans="1:19" hidden="1" x14ac:dyDescent="0.25">
      <c r="A237" s="29">
        <v>2517033</v>
      </c>
      <c r="B237" s="25" t="s">
        <v>1318</v>
      </c>
      <c r="C237" s="26" t="s">
        <v>12</v>
      </c>
      <c r="D237" s="24" t="s">
        <v>1303</v>
      </c>
      <c r="E237" s="26" t="s">
        <v>1304</v>
      </c>
      <c r="F237" s="26" t="s">
        <v>1319</v>
      </c>
      <c r="G237" s="26" t="s">
        <v>1320</v>
      </c>
      <c r="H237" s="26" t="s">
        <v>827</v>
      </c>
      <c r="I237" s="26"/>
      <c r="J237" s="26" t="s">
        <v>18</v>
      </c>
      <c r="K237" s="26" t="s">
        <v>18</v>
      </c>
      <c r="L237" s="26" t="s">
        <v>18</v>
      </c>
      <c r="M237" s="26" t="s">
        <v>19</v>
      </c>
      <c r="N237" s="26" t="s">
        <v>18</v>
      </c>
      <c r="O237" s="26" t="s">
        <v>19</v>
      </c>
      <c r="P237" s="26">
        <v>101.797222</v>
      </c>
      <c r="Q237" s="26">
        <v>2.5305559999999998</v>
      </c>
      <c r="R237" s="26"/>
      <c r="S237" s="26" t="s">
        <v>1321</v>
      </c>
    </row>
    <row r="238" spans="1:19" hidden="1" x14ac:dyDescent="0.25">
      <c r="A238" s="29">
        <v>2519046</v>
      </c>
      <c r="B238" s="25" t="s">
        <v>1322</v>
      </c>
      <c r="C238" s="26" t="s">
        <v>12</v>
      </c>
      <c r="D238" s="24" t="s">
        <v>1303</v>
      </c>
      <c r="E238" s="26" t="s">
        <v>1304</v>
      </c>
      <c r="F238" s="26" t="s">
        <v>1305</v>
      </c>
      <c r="G238" s="26" t="s">
        <v>1277</v>
      </c>
      <c r="H238" s="26" t="s">
        <v>1323</v>
      </c>
      <c r="I238" s="26"/>
      <c r="J238" s="26" t="s">
        <v>18</v>
      </c>
      <c r="K238" s="26" t="s">
        <v>18</v>
      </c>
      <c r="L238" s="26" t="s">
        <v>18</v>
      </c>
      <c r="M238" s="26" t="s">
        <v>19</v>
      </c>
      <c r="N238" s="26" t="s">
        <v>19</v>
      </c>
      <c r="O238" s="26" t="s">
        <v>19</v>
      </c>
      <c r="P238" s="26">
        <v>101.902778</v>
      </c>
      <c r="Q238" s="26">
        <v>2.5083329999999999</v>
      </c>
      <c r="R238" s="26"/>
      <c r="S238" s="26" t="s">
        <v>20</v>
      </c>
    </row>
    <row r="239" spans="1:19" hidden="1" x14ac:dyDescent="0.25">
      <c r="A239" s="29">
        <v>2519047</v>
      </c>
      <c r="B239" s="25" t="s">
        <v>1324</v>
      </c>
      <c r="C239" s="26" t="s">
        <v>12</v>
      </c>
      <c r="D239" s="24" t="s">
        <v>1303</v>
      </c>
      <c r="E239" s="26" t="s">
        <v>1304</v>
      </c>
      <c r="F239" s="26" t="s">
        <v>1305</v>
      </c>
      <c r="G239" s="26" t="s">
        <v>1305</v>
      </c>
      <c r="H239" s="26"/>
      <c r="I239" s="26"/>
      <c r="J239" s="26" t="s">
        <v>19</v>
      </c>
      <c r="K239" s="26" t="s">
        <v>18</v>
      </c>
      <c r="L239" s="26" t="s">
        <v>19</v>
      </c>
      <c r="M239" s="26" t="s">
        <v>18</v>
      </c>
      <c r="N239" s="26" t="s">
        <v>19</v>
      </c>
      <c r="O239" s="26" t="s">
        <v>19</v>
      </c>
      <c r="P239" s="26">
        <v>101.9645</v>
      </c>
      <c r="Q239" s="26">
        <v>2.5075560000000001</v>
      </c>
      <c r="R239" s="26"/>
      <c r="S239" s="26"/>
    </row>
    <row r="240" spans="1:19" hidden="1" x14ac:dyDescent="0.25">
      <c r="A240" s="29">
        <v>2520049</v>
      </c>
      <c r="B240" s="25" t="s">
        <v>1325</v>
      </c>
      <c r="C240" s="26" t="s">
        <v>12</v>
      </c>
      <c r="D240" s="24" t="s">
        <v>1303</v>
      </c>
      <c r="E240" s="26" t="s">
        <v>1309</v>
      </c>
      <c r="F240" s="26" t="s">
        <v>1305</v>
      </c>
      <c r="G240" s="26" t="s">
        <v>1277</v>
      </c>
      <c r="H240" s="26" t="s">
        <v>548</v>
      </c>
      <c r="I240" s="26"/>
      <c r="J240" s="26" t="s">
        <v>18</v>
      </c>
      <c r="K240" s="26" t="s">
        <v>18</v>
      </c>
      <c r="L240" s="26" t="s">
        <v>18</v>
      </c>
      <c r="M240" s="26" t="s">
        <v>19</v>
      </c>
      <c r="N240" s="26" t="s">
        <v>18</v>
      </c>
      <c r="O240" s="26" t="s">
        <v>19</v>
      </c>
      <c r="P240" s="26">
        <v>102.040278</v>
      </c>
      <c r="Q240" s="26">
        <v>2.5555560000000002</v>
      </c>
      <c r="R240" s="26"/>
      <c r="S240" s="26" t="s">
        <v>1306</v>
      </c>
    </row>
    <row r="241" spans="1:19" hidden="1" x14ac:dyDescent="0.25">
      <c r="A241" s="29">
        <v>2521001</v>
      </c>
      <c r="B241" s="25" t="s">
        <v>1326</v>
      </c>
      <c r="C241" s="26" t="s">
        <v>12</v>
      </c>
      <c r="D241" s="24" t="s">
        <v>1303</v>
      </c>
      <c r="E241" s="26" t="s">
        <v>1309</v>
      </c>
      <c r="F241" s="26" t="s">
        <v>1305</v>
      </c>
      <c r="G241" s="26" t="s">
        <v>1277</v>
      </c>
      <c r="H241" s="26" t="s">
        <v>1260</v>
      </c>
      <c r="I241" s="26"/>
      <c r="J241" s="26" t="s">
        <v>18</v>
      </c>
      <c r="K241" s="26" t="s">
        <v>18</v>
      </c>
      <c r="L241" s="26" t="s">
        <v>18</v>
      </c>
      <c r="M241" s="26" t="s">
        <v>19</v>
      </c>
      <c r="N241" s="26" t="s">
        <v>19</v>
      </c>
      <c r="O241" s="26" t="s">
        <v>19</v>
      </c>
      <c r="P241" s="26">
        <v>102.120833</v>
      </c>
      <c r="Q241" s="26">
        <v>2.5499999999999998</v>
      </c>
      <c r="R241" s="26"/>
      <c r="S241" s="26" t="s">
        <v>41</v>
      </c>
    </row>
    <row r="242" spans="1:19" hidden="1" x14ac:dyDescent="0.25">
      <c r="A242" s="29">
        <v>2521050</v>
      </c>
      <c r="B242" s="25" t="s">
        <v>1327</v>
      </c>
      <c r="C242" s="26" t="s">
        <v>12</v>
      </c>
      <c r="D242" s="24" t="s">
        <v>1303</v>
      </c>
      <c r="E242" s="26" t="s">
        <v>1309</v>
      </c>
      <c r="F242" s="26" t="s">
        <v>1305</v>
      </c>
      <c r="G242" s="26" t="s">
        <v>1277</v>
      </c>
      <c r="H242" s="26" t="s">
        <v>548</v>
      </c>
      <c r="I242" s="26"/>
      <c r="J242" s="26" t="s">
        <v>18</v>
      </c>
      <c r="K242" s="26" t="s">
        <v>18</v>
      </c>
      <c r="L242" s="26" t="s">
        <v>18</v>
      </c>
      <c r="M242" s="26" t="s">
        <v>19</v>
      </c>
      <c r="N242" s="26" t="s">
        <v>18</v>
      </c>
      <c r="O242" s="26" t="s">
        <v>19</v>
      </c>
      <c r="P242" s="26">
        <v>102.026111</v>
      </c>
      <c r="Q242" s="26">
        <v>2.6516670000000002</v>
      </c>
      <c r="R242" s="26"/>
      <c r="S242" s="26" t="s">
        <v>41</v>
      </c>
    </row>
    <row r="243" spans="1:19" hidden="1" x14ac:dyDescent="0.25">
      <c r="A243" s="29">
        <v>2522061</v>
      </c>
      <c r="B243" s="25" t="s">
        <v>1328</v>
      </c>
      <c r="C243" s="26" t="s">
        <v>12</v>
      </c>
      <c r="D243" s="24" t="s">
        <v>1303</v>
      </c>
      <c r="E243" s="26" t="s">
        <v>1316</v>
      </c>
      <c r="F243" s="26"/>
      <c r="G243" s="26"/>
      <c r="H243" s="26" t="s">
        <v>46</v>
      </c>
      <c r="I243" s="26"/>
      <c r="J243" s="26" t="s">
        <v>18</v>
      </c>
      <c r="K243" s="26" t="s">
        <v>18</v>
      </c>
      <c r="L243" s="26" t="s">
        <v>18</v>
      </c>
      <c r="M243" s="26" t="s">
        <v>19</v>
      </c>
      <c r="N243" s="26" t="s">
        <v>18</v>
      </c>
      <c r="O243" s="26" t="s">
        <v>19</v>
      </c>
      <c r="P243" s="26">
        <v>102.223056</v>
      </c>
      <c r="Q243" s="26">
        <v>2.474167</v>
      </c>
      <c r="R243" s="26"/>
      <c r="S243" s="26" t="s">
        <v>20</v>
      </c>
    </row>
    <row r="244" spans="1:19" hidden="1" x14ac:dyDescent="0.25">
      <c r="A244" s="29">
        <v>2524001</v>
      </c>
      <c r="B244" s="25" t="s">
        <v>1329</v>
      </c>
      <c r="C244" s="26" t="s">
        <v>12</v>
      </c>
      <c r="D244" s="24" t="s">
        <v>1303</v>
      </c>
      <c r="E244" s="26" t="s">
        <v>1316</v>
      </c>
      <c r="F244" s="26"/>
      <c r="G244" s="26"/>
      <c r="H244" s="26" t="s">
        <v>725</v>
      </c>
      <c r="I244" s="26"/>
      <c r="J244" s="26" t="s">
        <v>18</v>
      </c>
      <c r="K244" s="26" t="s">
        <v>18</v>
      </c>
      <c r="L244" s="26" t="s">
        <v>18</v>
      </c>
      <c r="M244" s="26" t="s">
        <v>19</v>
      </c>
      <c r="N244" s="26" t="s">
        <v>19</v>
      </c>
      <c r="O244" s="26" t="s">
        <v>19</v>
      </c>
      <c r="P244" s="26">
        <v>102.39444399999999</v>
      </c>
      <c r="Q244" s="26">
        <v>2.5377779999999999</v>
      </c>
      <c r="R244" s="26"/>
      <c r="S244" s="26" t="s">
        <v>20</v>
      </c>
    </row>
    <row r="245" spans="1:19" hidden="1" x14ac:dyDescent="0.25">
      <c r="A245" s="29">
        <v>2524003</v>
      </c>
      <c r="B245" s="25" t="s">
        <v>1330</v>
      </c>
      <c r="C245" s="26" t="s">
        <v>12</v>
      </c>
      <c r="D245" s="24" t="s">
        <v>1303</v>
      </c>
      <c r="E245" s="26" t="s">
        <v>1316</v>
      </c>
      <c r="F245" s="26" t="s">
        <v>1331</v>
      </c>
      <c r="G245" s="26" t="s">
        <v>1332</v>
      </c>
      <c r="H245" s="26"/>
      <c r="I245" s="26"/>
      <c r="J245" s="26" t="s">
        <v>19</v>
      </c>
      <c r="K245" s="26" t="s">
        <v>18</v>
      </c>
      <c r="L245" s="26" t="s">
        <v>19</v>
      </c>
      <c r="M245" s="26" t="s">
        <v>18</v>
      </c>
      <c r="N245" s="26" t="s">
        <v>19</v>
      </c>
      <c r="O245" s="26" t="s">
        <v>19</v>
      </c>
      <c r="P245" s="26">
        <v>102.44711100000001</v>
      </c>
      <c r="Q245" s="26">
        <v>2.5652219999999999</v>
      </c>
      <c r="R245" s="26"/>
      <c r="S245" s="26"/>
    </row>
    <row r="246" spans="1:19" hidden="1" x14ac:dyDescent="0.25">
      <c r="A246" s="29">
        <v>2524086</v>
      </c>
      <c r="B246" s="25" t="s">
        <v>1329</v>
      </c>
      <c r="C246" s="26" t="s">
        <v>12</v>
      </c>
      <c r="D246" s="24" t="s">
        <v>1303</v>
      </c>
      <c r="E246" s="26" t="s">
        <v>1316</v>
      </c>
      <c r="F246" s="26"/>
      <c r="G246" s="26"/>
      <c r="H246" s="26" t="s">
        <v>1333</v>
      </c>
      <c r="I246" s="26" t="s">
        <v>725</v>
      </c>
      <c r="J246" s="26" t="s">
        <v>19</v>
      </c>
      <c r="K246" s="26" t="s">
        <v>19</v>
      </c>
      <c r="L246" s="26" t="s">
        <v>18</v>
      </c>
      <c r="M246" s="26" t="s">
        <v>19</v>
      </c>
      <c r="N246" s="26" t="s">
        <v>19</v>
      </c>
      <c r="O246" s="26" t="s">
        <v>19</v>
      </c>
      <c r="P246" s="26">
        <v>102.402778</v>
      </c>
      <c r="Q246" s="26">
        <v>2.5333329999999998</v>
      </c>
      <c r="R246" s="26"/>
      <c r="S246" s="26" t="s">
        <v>20</v>
      </c>
    </row>
    <row r="247" spans="1:19" hidden="1" x14ac:dyDescent="0.25">
      <c r="A247" s="28">
        <v>2526001</v>
      </c>
      <c r="B247" s="15" t="s">
        <v>2417</v>
      </c>
      <c r="C247" s="19" t="s">
        <v>12</v>
      </c>
      <c r="D247" s="21" t="s">
        <v>2011</v>
      </c>
      <c r="E247" s="19" t="s">
        <v>2320</v>
      </c>
      <c r="F247" s="19" t="s">
        <v>2418</v>
      </c>
      <c r="G247" s="19" t="s">
        <v>1346</v>
      </c>
      <c r="H247" s="19" t="s">
        <v>139</v>
      </c>
      <c r="I247" s="19"/>
      <c r="J247" s="19" t="s">
        <v>18</v>
      </c>
      <c r="K247" s="19" t="s">
        <v>18</v>
      </c>
      <c r="L247" s="19" t="s">
        <v>18</v>
      </c>
      <c r="M247" s="19" t="s">
        <v>19</v>
      </c>
      <c r="N247" s="19" t="s">
        <v>18</v>
      </c>
      <c r="O247" s="19"/>
      <c r="P247" s="19">
        <v>102.648611</v>
      </c>
      <c r="Q247" s="19">
        <v>2.5805560000000001</v>
      </c>
      <c r="R247" s="19" t="s">
        <v>20</v>
      </c>
      <c r="S247" s="19" t="s">
        <v>2277</v>
      </c>
    </row>
    <row r="248" spans="1:19" hidden="1" x14ac:dyDescent="0.25">
      <c r="A248" s="28">
        <v>2526003</v>
      </c>
      <c r="B248" s="15" t="s">
        <v>2419</v>
      </c>
      <c r="C248" s="19" t="s">
        <v>12</v>
      </c>
      <c r="D248" s="21" t="s">
        <v>2011</v>
      </c>
      <c r="E248" s="19" t="s">
        <v>2320</v>
      </c>
      <c r="F248" s="19" t="s">
        <v>2420</v>
      </c>
      <c r="G248" s="19" t="s">
        <v>1346</v>
      </c>
      <c r="H248" s="19" t="s">
        <v>2421</v>
      </c>
      <c r="I248" s="19" t="s">
        <v>742</v>
      </c>
      <c r="J248" s="19" t="s">
        <v>19</v>
      </c>
      <c r="K248" s="19" t="s">
        <v>19</v>
      </c>
      <c r="L248" s="19" t="s">
        <v>18</v>
      </c>
      <c r="M248" s="19" t="s">
        <v>19</v>
      </c>
      <c r="N248" s="19" t="s">
        <v>19</v>
      </c>
      <c r="O248" s="19"/>
      <c r="P248" s="19">
        <v>102.640278</v>
      </c>
      <c r="Q248" s="19">
        <v>2.581944</v>
      </c>
      <c r="R248" s="19" t="s">
        <v>20</v>
      </c>
      <c r="S248" s="19" t="s">
        <v>1870</v>
      </c>
    </row>
    <row r="249" spans="1:19" hidden="1" x14ac:dyDescent="0.25">
      <c r="A249" s="28">
        <v>2526004</v>
      </c>
      <c r="B249" s="15" t="s">
        <v>2422</v>
      </c>
      <c r="C249" s="19" t="s">
        <v>12</v>
      </c>
      <c r="D249" s="21" t="s">
        <v>2011</v>
      </c>
      <c r="E249" s="19" t="s">
        <v>2320</v>
      </c>
      <c r="F249" s="19" t="s">
        <v>2423</v>
      </c>
      <c r="G249" s="19" t="s">
        <v>2423</v>
      </c>
      <c r="H249" s="19"/>
      <c r="I249" s="19"/>
      <c r="J249" s="19" t="s">
        <v>19</v>
      </c>
      <c r="K249" s="19" t="s">
        <v>18</v>
      </c>
      <c r="L249" s="19" t="s">
        <v>19</v>
      </c>
      <c r="M249" s="19" t="s">
        <v>18</v>
      </c>
      <c r="N249" s="19" t="s">
        <v>19</v>
      </c>
      <c r="O249" s="19"/>
      <c r="P249" s="19">
        <v>102.626389</v>
      </c>
      <c r="Q249" s="19">
        <v>2.5555560000000002</v>
      </c>
      <c r="R249" s="19"/>
      <c r="S249" s="19" t="s">
        <v>1870</v>
      </c>
    </row>
    <row r="250" spans="1:19" hidden="1" x14ac:dyDescent="0.25">
      <c r="A250" s="28">
        <v>2527004</v>
      </c>
      <c r="B250" s="15" t="s">
        <v>2424</v>
      </c>
      <c r="C250" s="19" t="s">
        <v>12</v>
      </c>
      <c r="D250" s="21" t="s">
        <v>2011</v>
      </c>
      <c r="E250" s="19" t="s">
        <v>2320</v>
      </c>
      <c r="F250" s="19" t="s">
        <v>2258</v>
      </c>
      <c r="G250" s="19" t="s">
        <v>1346</v>
      </c>
      <c r="H250" s="19" t="s">
        <v>2425</v>
      </c>
      <c r="I250" s="19"/>
      <c r="J250" s="19" t="s">
        <v>18</v>
      </c>
      <c r="K250" s="19" t="s">
        <v>18</v>
      </c>
      <c r="L250" s="19" t="s">
        <v>18</v>
      </c>
      <c r="M250" s="19" t="s">
        <v>19</v>
      </c>
      <c r="N250" s="19" t="s">
        <v>18</v>
      </c>
      <c r="O250" s="19"/>
      <c r="P250" s="19">
        <v>102.719444</v>
      </c>
      <c r="Q250" s="19">
        <v>2.5861109999999998</v>
      </c>
      <c r="R250" s="19" t="s">
        <v>20</v>
      </c>
      <c r="S250" s="19" t="s">
        <v>2426</v>
      </c>
    </row>
    <row r="251" spans="1:19" hidden="1" x14ac:dyDescent="0.25">
      <c r="A251" s="28">
        <v>2527007</v>
      </c>
      <c r="B251" s="15" t="s">
        <v>2427</v>
      </c>
      <c r="C251" s="19" t="s">
        <v>12</v>
      </c>
      <c r="D251" s="21" t="s">
        <v>2011</v>
      </c>
      <c r="E251" s="19" t="s">
        <v>2320</v>
      </c>
      <c r="F251" s="19" t="s">
        <v>2258</v>
      </c>
      <c r="G251" s="19" t="s">
        <v>1346</v>
      </c>
      <c r="H251" s="19" t="s">
        <v>1378</v>
      </c>
      <c r="I251" s="19" t="s">
        <v>790</v>
      </c>
      <c r="J251" s="19" t="s">
        <v>19</v>
      </c>
      <c r="K251" s="19" t="s">
        <v>19</v>
      </c>
      <c r="L251" s="19" t="s">
        <v>18</v>
      </c>
      <c r="M251" s="19" t="s">
        <v>19</v>
      </c>
      <c r="N251" s="19" t="s">
        <v>19</v>
      </c>
      <c r="O251" s="19"/>
      <c r="P251" s="19">
        <v>102.78611100000001</v>
      </c>
      <c r="Q251" s="19">
        <v>2.552778</v>
      </c>
      <c r="R251" s="19" t="s">
        <v>20</v>
      </c>
      <c r="S251" s="19" t="s">
        <v>1870</v>
      </c>
    </row>
    <row r="252" spans="1:19" hidden="1" x14ac:dyDescent="0.25">
      <c r="A252" s="28">
        <v>2528001</v>
      </c>
      <c r="B252" s="15" t="s">
        <v>2428</v>
      </c>
      <c r="C252" s="19" t="s">
        <v>12</v>
      </c>
      <c r="D252" s="21" t="s">
        <v>2011</v>
      </c>
      <c r="E252" s="19" t="s">
        <v>2320</v>
      </c>
      <c r="F252" s="19" t="s">
        <v>2258</v>
      </c>
      <c r="G252" s="19" t="s">
        <v>1346</v>
      </c>
      <c r="H252" s="19" t="s">
        <v>2429</v>
      </c>
      <c r="I252" s="19" t="s">
        <v>2430</v>
      </c>
      <c r="J252" s="19" t="s">
        <v>19</v>
      </c>
      <c r="K252" s="19" t="s">
        <v>19</v>
      </c>
      <c r="L252" s="19" t="s">
        <v>18</v>
      </c>
      <c r="M252" s="19" t="s">
        <v>19</v>
      </c>
      <c r="N252" s="19" t="s">
        <v>19</v>
      </c>
      <c r="O252" s="19"/>
      <c r="P252" s="19">
        <v>102.84861100000001</v>
      </c>
      <c r="Q252" s="19">
        <v>2.5847220000000002</v>
      </c>
      <c r="R252" s="19" t="s">
        <v>2397</v>
      </c>
      <c r="S252" s="19" t="s">
        <v>220</v>
      </c>
    </row>
    <row r="253" spans="1:19" hidden="1" x14ac:dyDescent="0.25">
      <c r="A253" s="28">
        <v>2528002</v>
      </c>
      <c r="B253" s="15" t="s">
        <v>2431</v>
      </c>
      <c r="C253" s="19" t="s">
        <v>12</v>
      </c>
      <c r="D253" s="21" t="s">
        <v>2011</v>
      </c>
      <c r="E253" s="19" t="s">
        <v>2320</v>
      </c>
      <c r="F253" s="19" t="s">
        <v>2368</v>
      </c>
      <c r="G253" s="19" t="s">
        <v>1346</v>
      </c>
      <c r="H253" s="19" t="s">
        <v>2432</v>
      </c>
      <c r="I253" s="19"/>
      <c r="J253" s="19" t="s">
        <v>18</v>
      </c>
      <c r="K253" s="19" t="s">
        <v>18</v>
      </c>
      <c r="L253" s="19" t="s">
        <v>18</v>
      </c>
      <c r="M253" s="19" t="s">
        <v>18</v>
      </c>
      <c r="N253" s="19" t="s">
        <v>18</v>
      </c>
      <c r="O253" s="19"/>
      <c r="P253" s="19">
        <v>102.818056</v>
      </c>
      <c r="Q253" s="19">
        <v>2.5083329999999999</v>
      </c>
      <c r="R253" s="19" t="s">
        <v>41</v>
      </c>
      <c r="S253" s="19" t="s">
        <v>1870</v>
      </c>
    </row>
    <row r="254" spans="1:19" hidden="1" x14ac:dyDescent="0.25">
      <c r="A254" s="28">
        <v>2528012</v>
      </c>
      <c r="B254" s="15" t="s">
        <v>2433</v>
      </c>
      <c r="C254" s="19" t="s">
        <v>12</v>
      </c>
      <c r="D254" s="21" t="s">
        <v>2011</v>
      </c>
      <c r="E254" s="19" t="s">
        <v>2320</v>
      </c>
      <c r="F254" s="19" t="s">
        <v>2434</v>
      </c>
      <c r="G254" s="19" t="s">
        <v>1346</v>
      </c>
      <c r="H254" s="19" t="s">
        <v>2435</v>
      </c>
      <c r="I254" s="19" t="s">
        <v>2186</v>
      </c>
      <c r="J254" s="19" t="s">
        <v>19</v>
      </c>
      <c r="K254" s="19" t="s">
        <v>19</v>
      </c>
      <c r="L254" s="19" t="s">
        <v>19</v>
      </c>
      <c r="M254" s="19" t="s">
        <v>19</v>
      </c>
      <c r="N254" s="19" t="s">
        <v>18</v>
      </c>
      <c r="O254" s="19"/>
      <c r="P254" s="19">
        <v>102.813889</v>
      </c>
      <c r="Q254" s="19">
        <v>2.516667</v>
      </c>
      <c r="R254" s="19" t="s">
        <v>41</v>
      </c>
      <c r="S254" s="19" t="s">
        <v>1870</v>
      </c>
    </row>
    <row r="255" spans="1:19" hidden="1" x14ac:dyDescent="0.25">
      <c r="A255" s="28">
        <v>2528014</v>
      </c>
      <c r="B255" s="15" t="s">
        <v>2436</v>
      </c>
      <c r="C255" s="19" t="s">
        <v>12</v>
      </c>
      <c r="D255" s="21" t="s">
        <v>2011</v>
      </c>
      <c r="E255" s="19" t="s">
        <v>2320</v>
      </c>
      <c r="F255" s="19" t="s">
        <v>2408</v>
      </c>
      <c r="G255" s="19" t="s">
        <v>1346</v>
      </c>
      <c r="H255" s="19" t="s">
        <v>336</v>
      </c>
      <c r="I255" s="19" t="s">
        <v>1187</v>
      </c>
      <c r="J255" s="19" t="s">
        <v>19</v>
      </c>
      <c r="K255" s="19" t="s">
        <v>19</v>
      </c>
      <c r="L255" s="19" t="s">
        <v>18</v>
      </c>
      <c r="M255" s="19" t="s">
        <v>19</v>
      </c>
      <c r="N255" s="19" t="s">
        <v>19</v>
      </c>
      <c r="O255" s="19"/>
      <c r="P255" s="19">
        <v>102.8875</v>
      </c>
      <c r="Q255" s="19">
        <v>2.526389</v>
      </c>
      <c r="R255" s="19" t="s">
        <v>421</v>
      </c>
      <c r="S255" s="19" t="s">
        <v>220</v>
      </c>
    </row>
    <row r="256" spans="1:19" hidden="1" x14ac:dyDescent="0.25">
      <c r="A256" s="28">
        <v>2529001</v>
      </c>
      <c r="B256" s="15" t="s">
        <v>2437</v>
      </c>
      <c r="C256" s="19" t="s">
        <v>12</v>
      </c>
      <c r="D256" s="21" t="s">
        <v>2011</v>
      </c>
      <c r="E256" s="19" t="s">
        <v>2320</v>
      </c>
      <c r="F256" s="19" t="s">
        <v>2409</v>
      </c>
      <c r="G256" s="19" t="s">
        <v>2368</v>
      </c>
      <c r="H256" s="19"/>
      <c r="I256" s="19"/>
      <c r="J256" s="19" t="s">
        <v>19</v>
      </c>
      <c r="K256" s="19" t="s">
        <v>18</v>
      </c>
      <c r="L256" s="19" t="s">
        <v>19</v>
      </c>
      <c r="M256" s="19" t="s">
        <v>18</v>
      </c>
      <c r="N256" s="19" t="s">
        <v>19</v>
      </c>
      <c r="O256" s="19"/>
      <c r="P256" s="19">
        <v>102.94805599999999</v>
      </c>
      <c r="Q256" s="19">
        <v>2.5</v>
      </c>
      <c r="R256" s="19"/>
      <c r="S256" s="19" t="s">
        <v>1870</v>
      </c>
    </row>
    <row r="257" spans="1:19" hidden="1" x14ac:dyDescent="0.25">
      <c r="A257" s="28">
        <v>2534160</v>
      </c>
      <c r="B257" s="15" t="s">
        <v>2438</v>
      </c>
      <c r="C257" s="19" t="s">
        <v>12</v>
      </c>
      <c r="D257" s="21" t="s">
        <v>2011</v>
      </c>
      <c r="E257" s="19" t="s">
        <v>2292</v>
      </c>
      <c r="F257" s="19" t="s">
        <v>2439</v>
      </c>
      <c r="G257" s="19" t="s">
        <v>1430</v>
      </c>
      <c r="H257" s="19" t="s">
        <v>2440</v>
      </c>
      <c r="I257" s="19"/>
      <c r="J257" s="19" t="s">
        <v>18</v>
      </c>
      <c r="K257" s="19" t="s">
        <v>18</v>
      </c>
      <c r="L257" s="19" t="s">
        <v>19</v>
      </c>
      <c r="M257" s="19" t="s">
        <v>19</v>
      </c>
      <c r="N257" s="19" t="s">
        <v>18</v>
      </c>
      <c r="O257" s="19"/>
      <c r="P257" s="19">
        <v>103.419444</v>
      </c>
      <c r="Q257" s="19">
        <v>2.5388890000000002</v>
      </c>
      <c r="R257" s="19" t="s">
        <v>41</v>
      </c>
      <c r="S257" s="19" t="s">
        <v>2072</v>
      </c>
    </row>
    <row r="258" spans="1:19" hidden="1" x14ac:dyDescent="0.25">
      <c r="A258" s="28">
        <v>2536168</v>
      </c>
      <c r="B258" s="15" t="s">
        <v>2441</v>
      </c>
      <c r="C258" s="19" t="s">
        <v>12</v>
      </c>
      <c r="D258" s="21" t="s">
        <v>2011</v>
      </c>
      <c r="E258" s="19" t="s">
        <v>2292</v>
      </c>
      <c r="F258" s="19" t="s">
        <v>2395</v>
      </c>
      <c r="G258" s="19" t="s">
        <v>1430</v>
      </c>
      <c r="H258" s="19" t="s">
        <v>1722</v>
      </c>
      <c r="I258" s="19"/>
      <c r="J258" s="19" t="s">
        <v>18</v>
      </c>
      <c r="K258" s="19" t="s">
        <v>18</v>
      </c>
      <c r="L258" s="19" t="s">
        <v>18</v>
      </c>
      <c r="M258" s="19" t="s">
        <v>18</v>
      </c>
      <c r="N258" s="19" t="s">
        <v>19</v>
      </c>
      <c r="O258" s="19"/>
      <c r="P258" s="19">
        <v>103.669444</v>
      </c>
      <c r="Q258" s="19">
        <v>2.5861109999999998</v>
      </c>
      <c r="R258" s="19" t="s">
        <v>41</v>
      </c>
      <c r="S258" s="19" t="s">
        <v>2442</v>
      </c>
    </row>
    <row r="259" spans="1:19" hidden="1" x14ac:dyDescent="0.25">
      <c r="A259" s="28">
        <v>2537183</v>
      </c>
      <c r="B259" s="15" t="s">
        <v>2443</v>
      </c>
      <c r="C259" s="19" t="s">
        <v>12</v>
      </c>
      <c r="D259" s="21" t="s">
        <v>2011</v>
      </c>
      <c r="E259" s="19" t="s">
        <v>2292</v>
      </c>
      <c r="F259" s="19" t="s">
        <v>2413</v>
      </c>
      <c r="G259" s="19" t="s">
        <v>2413</v>
      </c>
      <c r="H259" s="19" t="s">
        <v>386</v>
      </c>
      <c r="I259" s="19" t="s">
        <v>2444</v>
      </c>
      <c r="J259" s="19" t="s">
        <v>19</v>
      </c>
      <c r="K259" s="19" t="s">
        <v>19</v>
      </c>
      <c r="L259" s="19" t="s">
        <v>18</v>
      </c>
      <c r="M259" s="19" t="s">
        <v>19</v>
      </c>
      <c r="N259" s="19" t="s">
        <v>19</v>
      </c>
      <c r="O259" s="19"/>
      <c r="P259" s="19">
        <v>103.79861099999999</v>
      </c>
      <c r="Q259" s="19">
        <v>2.5</v>
      </c>
      <c r="R259" s="19" t="s">
        <v>164</v>
      </c>
      <c r="S259" s="19" t="s">
        <v>1870</v>
      </c>
    </row>
    <row r="260" spans="1:19" hidden="1" x14ac:dyDescent="0.25">
      <c r="A260" s="29">
        <v>2615131</v>
      </c>
      <c r="B260" s="25" t="s">
        <v>11</v>
      </c>
      <c r="C260" s="26" t="s">
        <v>12</v>
      </c>
      <c r="D260" s="24" t="s">
        <v>13</v>
      </c>
      <c r="E260" s="26" t="s">
        <v>14</v>
      </c>
      <c r="F260" s="26" t="s">
        <v>15</v>
      </c>
      <c r="G260" s="26" t="s">
        <v>16</v>
      </c>
      <c r="H260" s="26" t="s">
        <v>17</v>
      </c>
      <c r="I260" s="26"/>
      <c r="J260" s="26" t="s">
        <v>18</v>
      </c>
      <c r="K260" s="26" t="s">
        <v>18</v>
      </c>
      <c r="L260" s="26" t="s">
        <v>19</v>
      </c>
      <c r="M260" s="26" t="s">
        <v>19</v>
      </c>
      <c r="N260" s="26" t="s">
        <v>18</v>
      </c>
      <c r="O260" s="26" t="s">
        <v>19</v>
      </c>
      <c r="P260" s="26">
        <v>101.506944</v>
      </c>
      <c r="Q260" s="26">
        <v>2.6944439999999998</v>
      </c>
      <c r="R260" s="26"/>
      <c r="S260" s="26" t="s">
        <v>20</v>
      </c>
    </row>
    <row r="261" spans="1:19" hidden="1" x14ac:dyDescent="0.25">
      <c r="A261" s="29">
        <v>2615132</v>
      </c>
      <c r="B261" s="25" t="s">
        <v>21</v>
      </c>
      <c r="C261" s="26" t="s">
        <v>12</v>
      </c>
      <c r="D261" s="24" t="s">
        <v>13</v>
      </c>
      <c r="E261" s="26" t="s">
        <v>14</v>
      </c>
      <c r="F261" s="26" t="s">
        <v>15</v>
      </c>
      <c r="G261" s="26"/>
      <c r="H261" s="26" t="s">
        <v>22</v>
      </c>
      <c r="I261" s="26" t="s">
        <v>23</v>
      </c>
      <c r="J261" s="26" t="s">
        <v>19</v>
      </c>
      <c r="K261" s="26" t="s">
        <v>19</v>
      </c>
      <c r="L261" s="26" t="s">
        <v>18</v>
      </c>
      <c r="M261" s="26" t="s">
        <v>19</v>
      </c>
      <c r="N261" s="26" t="s">
        <v>19</v>
      </c>
      <c r="O261" s="26" t="s">
        <v>19</v>
      </c>
      <c r="P261" s="26">
        <v>101.54861099999999</v>
      </c>
      <c r="Q261" s="26">
        <v>2.668056</v>
      </c>
      <c r="R261" s="26"/>
      <c r="S261" s="26" t="s">
        <v>20</v>
      </c>
    </row>
    <row r="262" spans="1:19" hidden="1" x14ac:dyDescent="0.25">
      <c r="A262" s="29">
        <v>2615133</v>
      </c>
      <c r="B262" s="25" t="s">
        <v>24</v>
      </c>
      <c r="C262" s="26" t="s">
        <v>12</v>
      </c>
      <c r="D262" s="24" t="s">
        <v>13</v>
      </c>
      <c r="E262" s="26" t="s">
        <v>14</v>
      </c>
      <c r="F262" s="26" t="s">
        <v>25</v>
      </c>
      <c r="G262" s="26" t="s">
        <v>26</v>
      </c>
      <c r="H262" s="26"/>
      <c r="I262" s="26"/>
      <c r="J262" s="26" t="s">
        <v>18</v>
      </c>
      <c r="K262" s="26" t="s">
        <v>18</v>
      </c>
      <c r="L262" s="26" t="s">
        <v>19</v>
      </c>
      <c r="M262" s="26" t="s">
        <v>19</v>
      </c>
      <c r="N262" s="26" t="s">
        <v>18</v>
      </c>
      <c r="O262" s="26" t="s">
        <v>19</v>
      </c>
      <c r="P262" s="26">
        <v>101.563333</v>
      </c>
      <c r="Q262" s="26">
        <v>2.6813889999999998</v>
      </c>
      <c r="R262" s="26"/>
      <c r="S262" s="26"/>
    </row>
    <row r="263" spans="1:19" hidden="1" x14ac:dyDescent="0.25">
      <c r="A263" s="29">
        <v>2616135</v>
      </c>
      <c r="B263" s="25" t="s">
        <v>27</v>
      </c>
      <c r="C263" s="26" t="s">
        <v>12</v>
      </c>
      <c r="D263" s="24" t="s">
        <v>13</v>
      </c>
      <c r="E263" s="26" t="s">
        <v>14</v>
      </c>
      <c r="F263" s="26" t="s">
        <v>28</v>
      </c>
      <c r="G263" s="26" t="s">
        <v>16</v>
      </c>
      <c r="H263" s="26" t="s">
        <v>29</v>
      </c>
      <c r="I263" s="26"/>
      <c r="J263" s="26" t="s">
        <v>18</v>
      </c>
      <c r="K263" s="26" t="s">
        <v>18</v>
      </c>
      <c r="L263" s="26" t="s">
        <v>19</v>
      </c>
      <c r="M263" s="26" t="s">
        <v>19</v>
      </c>
      <c r="N263" s="26" t="s">
        <v>18</v>
      </c>
      <c r="O263" s="26" t="s">
        <v>19</v>
      </c>
      <c r="P263" s="26">
        <v>101.68472199999999</v>
      </c>
      <c r="Q263" s="26">
        <v>2.8638889999999999</v>
      </c>
      <c r="R263" s="26"/>
      <c r="S263" s="26" t="s">
        <v>20</v>
      </c>
    </row>
    <row r="264" spans="1:19" hidden="1" x14ac:dyDescent="0.25">
      <c r="A264" s="29">
        <v>2616136</v>
      </c>
      <c r="B264" s="25" t="s">
        <v>30</v>
      </c>
      <c r="C264" s="26" t="s">
        <v>12</v>
      </c>
      <c r="D264" s="24" t="s">
        <v>13</v>
      </c>
      <c r="E264" s="26" t="s">
        <v>16</v>
      </c>
      <c r="F264" s="26" t="s">
        <v>28</v>
      </c>
      <c r="G264" s="26" t="s">
        <v>16</v>
      </c>
      <c r="H264" s="26"/>
      <c r="I264" s="26"/>
      <c r="J264" s="26" t="s">
        <v>18</v>
      </c>
      <c r="K264" s="26" t="s">
        <v>18</v>
      </c>
      <c r="L264" s="26" t="s">
        <v>19</v>
      </c>
      <c r="M264" s="26" t="s">
        <v>19</v>
      </c>
      <c r="N264" s="26" t="s">
        <v>18</v>
      </c>
      <c r="O264" s="26" t="s">
        <v>19</v>
      </c>
      <c r="P264" s="26">
        <v>101.62388900000001</v>
      </c>
      <c r="Q264" s="26">
        <v>2.6327780000000001</v>
      </c>
      <c r="R264" s="26"/>
      <c r="S264" s="26"/>
    </row>
    <row r="265" spans="1:19" hidden="1" x14ac:dyDescent="0.25">
      <c r="A265" s="29">
        <v>2616137</v>
      </c>
      <c r="B265" s="25" t="s">
        <v>31</v>
      </c>
      <c r="C265" s="26" t="s">
        <v>12</v>
      </c>
      <c r="D265" s="24" t="s">
        <v>13</v>
      </c>
      <c r="E265" s="26" t="s">
        <v>16</v>
      </c>
      <c r="F265" s="26" t="s">
        <v>32</v>
      </c>
      <c r="G265" s="26" t="s">
        <v>16</v>
      </c>
      <c r="H265" s="26"/>
      <c r="I265" s="26"/>
      <c r="J265" s="26" t="s">
        <v>18</v>
      </c>
      <c r="K265" s="26" t="s">
        <v>18</v>
      </c>
      <c r="L265" s="26" t="s">
        <v>19</v>
      </c>
      <c r="M265" s="26" t="s">
        <v>19</v>
      </c>
      <c r="N265" s="26" t="s">
        <v>18</v>
      </c>
      <c r="O265" s="26" t="s">
        <v>19</v>
      </c>
      <c r="P265" s="26">
        <v>101.68263899999999</v>
      </c>
      <c r="Q265" s="26">
        <v>2.691611</v>
      </c>
      <c r="R265" s="26"/>
      <c r="S265" s="26"/>
    </row>
    <row r="266" spans="1:19" hidden="1" x14ac:dyDescent="0.25">
      <c r="A266" s="29">
        <v>2616138</v>
      </c>
      <c r="B266" s="25" t="s">
        <v>2639</v>
      </c>
      <c r="C266" s="26" t="s">
        <v>12</v>
      </c>
      <c r="D266" s="24" t="s">
        <v>13</v>
      </c>
      <c r="E266" s="26" t="s">
        <v>16</v>
      </c>
      <c r="F266" s="26" t="s">
        <v>28</v>
      </c>
      <c r="G266" s="26" t="s">
        <v>26</v>
      </c>
      <c r="H266" s="26"/>
      <c r="I266" s="26"/>
      <c r="J266" s="26" t="s">
        <v>18</v>
      </c>
      <c r="K266" s="26" t="s">
        <v>18</v>
      </c>
      <c r="L266" s="26" t="s">
        <v>19</v>
      </c>
      <c r="M266" s="26" t="s">
        <v>19</v>
      </c>
      <c r="N266" s="26" t="s">
        <v>18</v>
      </c>
      <c r="O266" s="26" t="s">
        <v>19</v>
      </c>
      <c r="P266" s="26">
        <v>101.62394399999999</v>
      </c>
      <c r="Q266" s="26">
        <v>2.6330279999999999</v>
      </c>
      <c r="R266" s="26"/>
      <c r="S266" s="26"/>
    </row>
    <row r="267" spans="1:19" hidden="1" x14ac:dyDescent="0.25">
      <c r="A267" s="29">
        <v>2617032</v>
      </c>
      <c r="B267" s="25" t="s">
        <v>1334</v>
      </c>
      <c r="C267" s="26" t="s">
        <v>12</v>
      </c>
      <c r="D267" s="24" t="s">
        <v>1303</v>
      </c>
      <c r="E267" s="26" t="s">
        <v>1304</v>
      </c>
      <c r="F267" s="26"/>
      <c r="G267" s="26"/>
      <c r="H267" s="26" t="s">
        <v>365</v>
      </c>
      <c r="I267" s="26"/>
      <c r="J267" s="26" t="s">
        <v>18</v>
      </c>
      <c r="K267" s="26" t="s">
        <v>18</v>
      </c>
      <c r="L267" s="26" t="s">
        <v>18</v>
      </c>
      <c r="M267" s="26" t="s">
        <v>19</v>
      </c>
      <c r="N267" s="26" t="s">
        <v>18</v>
      </c>
      <c r="O267" s="26" t="s">
        <v>19</v>
      </c>
      <c r="P267" s="26">
        <v>101.756944</v>
      </c>
      <c r="Q267" s="26">
        <v>2.6097220000000001</v>
      </c>
      <c r="R267" s="26"/>
      <c r="S267" s="26" t="s">
        <v>41</v>
      </c>
    </row>
    <row r="268" spans="1:19" hidden="1" x14ac:dyDescent="0.25">
      <c r="A268" s="29">
        <v>2617134</v>
      </c>
      <c r="B268" s="25" t="s">
        <v>33</v>
      </c>
      <c r="C268" s="26" t="s">
        <v>12</v>
      </c>
      <c r="D268" s="24" t="s">
        <v>13</v>
      </c>
      <c r="E268" s="26" t="s">
        <v>16</v>
      </c>
      <c r="F268" s="26" t="s">
        <v>32</v>
      </c>
      <c r="G268" s="26" t="s">
        <v>16</v>
      </c>
      <c r="H268" s="26" t="s">
        <v>34</v>
      </c>
      <c r="I268" s="26"/>
      <c r="J268" s="26" t="s">
        <v>18</v>
      </c>
      <c r="K268" s="26" t="s">
        <v>18</v>
      </c>
      <c r="L268" s="26" t="s">
        <v>19</v>
      </c>
      <c r="M268" s="26" t="s">
        <v>19</v>
      </c>
      <c r="N268" s="26" t="s">
        <v>18</v>
      </c>
      <c r="O268" s="26" t="s">
        <v>19</v>
      </c>
      <c r="P268" s="26">
        <v>101.729167</v>
      </c>
      <c r="Q268" s="26">
        <v>2.670833</v>
      </c>
      <c r="R268" s="26"/>
      <c r="S268" s="26" t="s">
        <v>20</v>
      </c>
    </row>
    <row r="269" spans="1:19" hidden="1" x14ac:dyDescent="0.25">
      <c r="A269" s="29">
        <v>2618001</v>
      </c>
      <c r="B269" s="25" t="s">
        <v>1335</v>
      </c>
      <c r="C269" s="26" t="s">
        <v>12</v>
      </c>
      <c r="D269" s="24" t="s">
        <v>1303</v>
      </c>
      <c r="E269" s="26" t="s">
        <v>1304</v>
      </c>
      <c r="F269" s="26"/>
      <c r="G269" s="26"/>
      <c r="H269" s="26"/>
      <c r="I269" s="26"/>
      <c r="J269" s="26" t="s">
        <v>18</v>
      </c>
      <c r="K269" s="26" t="s">
        <v>18</v>
      </c>
      <c r="L269" s="26" t="s">
        <v>18</v>
      </c>
      <c r="M269" s="26" t="s">
        <v>19</v>
      </c>
      <c r="N269" s="26" t="s">
        <v>19</v>
      </c>
      <c r="O269" s="26" t="s">
        <v>19</v>
      </c>
      <c r="P269" s="26">
        <v>101.888611</v>
      </c>
      <c r="Q269" s="26">
        <v>2.6349999999999998</v>
      </c>
      <c r="R269" s="26"/>
      <c r="S269" s="26" t="s">
        <v>1336</v>
      </c>
    </row>
    <row r="270" spans="1:19" hidden="1" x14ac:dyDescent="0.25">
      <c r="A270" s="29">
        <v>2618044</v>
      </c>
      <c r="B270" s="25" t="s">
        <v>1337</v>
      </c>
      <c r="C270" s="26" t="s">
        <v>12</v>
      </c>
      <c r="D270" s="24" t="s">
        <v>1303</v>
      </c>
      <c r="E270" s="26" t="s">
        <v>1304</v>
      </c>
      <c r="F270" s="26"/>
      <c r="G270" s="26"/>
      <c r="H270" s="26" t="s">
        <v>516</v>
      </c>
      <c r="I270" s="26" t="s">
        <v>1338</v>
      </c>
      <c r="J270" s="26" t="s">
        <v>19</v>
      </c>
      <c r="K270" s="26" t="s">
        <v>19</v>
      </c>
      <c r="L270" s="26" t="s">
        <v>18</v>
      </c>
      <c r="M270" s="26" t="s">
        <v>19</v>
      </c>
      <c r="N270" s="26" t="s">
        <v>19</v>
      </c>
      <c r="O270" s="26" t="s">
        <v>19</v>
      </c>
      <c r="P270" s="26">
        <v>101.898611</v>
      </c>
      <c r="Q270" s="26">
        <v>2.641667</v>
      </c>
      <c r="R270" s="26"/>
      <c r="S270" s="26" t="s">
        <v>20</v>
      </c>
    </row>
    <row r="271" spans="1:19" hidden="1" x14ac:dyDescent="0.25">
      <c r="A271" s="29">
        <v>2619001</v>
      </c>
      <c r="B271" s="25" t="s">
        <v>1305</v>
      </c>
      <c r="C271" s="26" t="s">
        <v>12</v>
      </c>
      <c r="D271" s="24" t="s">
        <v>1303</v>
      </c>
      <c r="E271" s="26" t="s">
        <v>1304</v>
      </c>
      <c r="F271" s="26" t="s">
        <v>1305</v>
      </c>
      <c r="G271" s="26" t="s">
        <v>1305</v>
      </c>
      <c r="H271" s="26"/>
      <c r="I271" s="26"/>
      <c r="J271" s="26" t="s">
        <v>19</v>
      </c>
      <c r="K271" s="26" t="s">
        <v>18</v>
      </c>
      <c r="L271" s="26" t="s">
        <v>19</v>
      </c>
      <c r="M271" s="26" t="s">
        <v>18</v>
      </c>
      <c r="N271" s="26" t="s">
        <v>19</v>
      </c>
      <c r="O271" s="26" t="s">
        <v>19</v>
      </c>
      <c r="P271" s="26">
        <v>101.927639</v>
      </c>
      <c r="Q271" s="26">
        <v>2.6811389999999999</v>
      </c>
      <c r="R271" s="26"/>
      <c r="S271" s="26"/>
    </row>
    <row r="272" spans="1:19" hidden="1" x14ac:dyDescent="0.25">
      <c r="A272" s="29">
        <v>2620048</v>
      </c>
      <c r="B272" s="25" t="s">
        <v>1339</v>
      </c>
      <c r="C272" s="26" t="s">
        <v>12</v>
      </c>
      <c r="D272" s="24" t="s">
        <v>1303</v>
      </c>
      <c r="E272" s="26" t="s">
        <v>1340</v>
      </c>
      <c r="F272" s="26" t="s">
        <v>1341</v>
      </c>
      <c r="G272" s="26" t="s">
        <v>1277</v>
      </c>
      <c r="H272" s="26" t="s">
        <v>1342</v>
      </c>
      <c r="I272" s="26"/>
      <c r="J272" s="26" t="s">
        <v>18</v>
      </c>
      <c r="K272" s="26" t="s">
        <v>18</v>
      </c>
      <c r="L272" s="26" t="s">
        <v>18</v>
      </c>
      <c r="M272" s="26" t="s">
        <v>19</v>
      </c>
      <c r="N272" s="26" t="s">
        <v>18</v>
      </c>
      <c r="O272" s="26" t="s">
        <v>19</v>
      </c>
      <c r="P272" s="26">
        <v>102.018056</v>
      </c>
      <c r="Q272" s="26">
        <v>2.651389</v>
      </c>
      <c r="R272" s="26"/>
      <c r="S272" s="26" t="s">
        <v>20</v>
      </c>
    </row>
    <row r="273" spans="1:19" hidden="1" x14ac:dyDescent="0.25">
      <c r="A273" s="29">
        <v>2622078</v>
      </c>
      <c r="B273" s="25" t="s">
        <v>1343</v>
      </c>
      <c r="C273" s="26" t="s">
        <v>12</v>
      </c>
      <c r="D273" s="24" t="s">
        <v>1303</v>
      </c>
      <c r="E273" s="26" t="s">
        <v>1344</v>
      </c>
      <c r="F273" s="26" t="s">
        <v>1345</v>
      </c>
      <c r="G273" s="26" t="s">
        <v>1346</v>
      </c>
      <c r="H273" s="26" t="s">
        <v>686</v>
      </c>
      <c r="I273" s="26"/>
      <c r="J273" s="26" t="s">
        <v>18</v>
      </c>
      <c r="K273" s="26" t="s">
        <v>18</v>
      </c>
      <c r="L273" s="26" t="s">
        <v>18</v>
      </c>
      <c r="M273" s="26" t="s">
        <v>19</v>
      </c>
      <c r="N273" s="26" t="s">
        <v>18</v>
      </c>
      <c r="O273" s="26" t="s">
        <v>19</v>
      </c>
      <c r="P273" s="26">
        <v>102.23055600000001</v>
      </c>
      <c r="Q273" s="26">
        <v>2.697222</v>
      </c>
      <c r="R273" s="26"/>
      <c r="S273" s="26" t="s">
        <v>1306</v>
      </c>
    </row>
    <row r="274" spans="1:19" hidden="1" x14ac:dyDescent="0.25">
      <c r="A274" s="29">
        <v>2622079</v>
      </c>
      <c r="B274" s="25" t="s">
        <v>1347</v>
      </c>
      <c r="C274" s="26" t="s">
        <v>12</v>
      </c>
      <c r="D274" s="24" t="s">
        <v>1303</v>
      </c>
      <c r="E274" s="26" t="s">
        <v>1344</v>
      </c>
      <c r="F274" s="26"/>
      <c r="G274" s="26"/>
      <c r="H274" s="26" t="s">
        <v>242</v>
      </c>
      <c r="I274" s="26" t="s">
        <v>1348</v>
      </c>
      <c r="J274" s="26" t="s">
        <v>19</v>
      </c>
      <c r="K274" s="26" t="s">
        <v>19</v>
      </c>
      <c r="L274" s="26" t="s">
        <v>18</v>
      </c>
      <c r="M274" s="26" t="s">
        <v>19</v>
      </c>
      <c r="N274" s="26" t="s">
        <v>19</v>
      </c>
      <c r="O274" s="26" t="s">
        <v>19</v>
      </c>
      <c r="P274" s="26">
        <v>102.216667</v>
      </c>
      <c r="Q274" s="26">
        <v>2.6749999999999998</v>
      </c>
      <c r="R274" s="26"/>
      <c r="S274" s="26" t="s">
        <v>164</v>
      </c>
    </row>
    <row r="275" spans="1:19" hidden="1" x14ac:dyDescent="0.25">
      <c r="A275" s="29">
        <v>2623085</v>
      </c>
      <c r="B275" s="25" t="s">
        <v>1349</v>
      </c>
      <c r="C275" s="26" t="s">
        <v>12</v>
      </c>
      <c r="D275" s="24" t="s">
        <v>1303</v>
      </c>
      <c r="E275" s="26" t="s">
        <v>1344</v>
      </c>
      <c r="F275" s="26"/>
      <c r="G275" s="26"/>
      <c r="H275" s="26" t="s">
        <v>106</v>
      </c>
      <c r="I275" s="26"/>
      <c r="J275" s="26" t="s">
        <v>18</v>
      </c>
      <c r="K275" s="26" t="s">
        <v>18</v>
      </c>
      <c r="L275" s="26" t="s">
        <v>18</v>
      </c>
      <c r="M275" s="26" t="s">
        <v>19</v>
      </c>
      <c r="N275" s="26" t="s">
        <v>18</v>
      </c>
      <c r="O275" s="26" t="s">
        <v>19</v>
      </c>
      <c r="P275" s="26">
        <v>102.319444</v>
      </c>
      <c r="Q275" s="26">
        <v>2.6027779999999998</v>
      </c>
      <c r="R275" s="26"/>
      <c r="S275" s="26" t="s">
        <v>20</v>
      </c>
    </row>
    <row r="276" spans="1:19" hidden="1" x14ac:dyDescent="0.25">
      <c r="A276" s="29">
        <v>2625084</v>
      </c>
      <c r="B276" s="25" t="s">
        <v>1350</v>
      </c>
      <c r="C276" s="26" t="s">
        <v>12</v>
      </c>
      <c r="D276" s="24" t="s">
        <v>1303</v>
      </c>
      <c r="E276" s="26" t="s">
        <v>1316</v>
      </c>
      <c r="F276" s="26"/>
      <c r="G276" s="26" t="s">
        <v>1346</v>
      </c>
      <c r="H276" s="26" t="s">
        <v>1351</v>
      </c>
      <c r="I276" s="26"/>
      <c r="J276" s="26" t="s">
        <v>18</v>
      </c>
      <c r="K276" s="26" t="s">
        <v>18</v>
      </c>
      <c r="L276" s="26" t="s">
        <v>18</v>
      </c>
      <c r="M276" s="26" t="s">
        <v>19</v>
      </c>
      <c r="N276" s="26" t="s">
        <v>18</v>
      </c>
      <c r="O276" s="26" t="s">
        <v>19</v>
      </c>
      <c r="P276" s="26">
        <v>102.594444</v>
      </c>
      <c r="Q276" s="26">
        <v>2.6388889999999998</v>
      </c>
      <c r="R276" s="26"/>
      <c r="S276" s="26" t="s">
        <v>41</v>
      </c>
    </row>
    <row r="277" spans="1:19" hidden="1" x14ac:dyDescent="0.25">
      <c r="A277" s="28">
        <v>2626002</v>
      </c>
      <c r="B277" s="15" t="s">
        <v>2445</v>
      </c>
      <c r="C277" s="19" t="s">
        <v>12</v>
      </c>
      <c r="D277" s="21" t="s">
        <v>2011</v>
      </c>
      <c r="E277" s="19" t="s">
        <v>2320</v>
      </c>
      <c r="F277" s="19" t="s">
        <v>2368</v>
      </c>
      <c r="G277" s="19" t="s">
        <v>1346</v>
      </c>
      <c r="H277" s="19" t="s">
        <v>688</v>
      </c>
      <c r="I277" s="19"/>
      <c r="J277" s="19" t="s">
        <v>18</v>
      </c>
      <c r="K277" s="19" t="s">
        <v>18</v>
      </c>
      <c r="L277" s="19" t="s">
        <v>18</v>
      </c>
      <c r="M277" s="19" t="s">
        <v>19</v>
      </c>
      <c r="N277" s="19" t="s">
        <v>18</v>
      </c>
      <c r="O277" s="19"/>
      <c r="P277" s="19">
        <v>102.647222</v>
      </c>
      <c r="Q277" s="19">
        <v>2.6111110000000002</v>
      </c>
      <c r="R277" s="19" t="s">
        <v>20</v>
      </c>
      <c r="S277" s="19" t="s">
        <v>220</v>
      </c>
    </row>
    <row r="278" spans="1:19" hidden="1" x14ac:dyDescent="0.25">
      <c r="A278" s="28">
        <v>2626003</v>
      </c>
      <c r="B278" s="15" t="s">
        <v>2446</v>
      </c>
      <c r="C278" s="19" t="s">
        <v>12</v>
      </c>
      <c r="D278" s="21" t="s">
        <v>2011</v>
      </c>
      <c r="E278" s="19" t="s">
        <v>2320</v>
      </c>
      <c r="F278" s="19" t="s">
        <v>2423</v>
      </c>
      <c r="G278" s="19" t="s">
        <v>2423</v>
      </c>
      <c r="H278" s="19"/>
      <c r="I278" s="19"/>
      <c r="J278" s="19" t="s">
        <v>19</v>
      </c>
      <c r="K278" s="19" t="s">
        <v>18</v>
      </c>
      <c r="L278" s="19" t="s">
        <v>19</v>
      </c>
      <c r="M278" s="19" t="s">
        <v>18</v>
      </c>
      <c r="N278" s="19" t="s">
        <v>19</v>
      </c>
      <c r="O278" s="19"/>
      <c r="P278" s="19">
        <v>102.626389</v>
      </c>
      <c r="Q278" s="19">
        <v>2.6319439999999998</v>
      </c>
      <c r="R278" s="19"/>
      <c r="S278" s="19" t="s">
        <v>1870</v>
      </c>
    </row>
    <row r="279" spans="1:19" hidden="1" x14ac:dyDescent="0.25">
      <c r="A279" s="28">
        <v>2628001</v>
      </c>
      <c r="B279" s="15" t="s">
        <v>2447</v>
      </c>
      <c r="C279" s="19" t="s">
        <v>12</v>
      </c>
      <c r="D279" s="21" t="s">
        <v>2011</v>
      </c>
      <c r="E279" s="19" t="s">
        <v>2320</v>
      </c>
      <c r="F279" s="19" t="s">
        <v>2448</v>
      </c>
      <c r="G279" s="19" t="s">
        <v>1346</v>
      </c>
      <c r="H279" s="19" t="s">
        <v>1766</v>
      </c>
      <c r="I279" s="19"/>
      <c r="J279" s="19" t="s">
        <v>18</v>
      </c>
      <c r="K279" s="19" t="s">
        <v>18</v>
      </c>
      <c r="L279" s="19" t="s">
        <v>18</v>
      </c>
      <c r="M279" s="19" t="s">
        <v>19</v>
      </c>
      <c r="N279" s="19" t="s">
        <v>18</v>
      </c>
      <c r="O279" s="19"/>
      <c r="P279" s="19">
        <v>102.890278</v>
      </c>
      <c r="Q279" s="19">
        <v>2.641667</v>
      </c>
      <c r="R279" s="19" t="s">
        <v>20</v>
      </c>
      <c r="S279" s="19" t="s">
        <v>1870</v>
      </c>
    </row>
    <row r="280" spans="1:19" hidden="1" x14ac:dyDescent="0.25">
      <c r="A280" s="28">
        <v>2630001</v>
      </c>
      <c r="B280" s="15" t="s">
        <v>1424</v>
      </c>
      <c r="C280" s="19" t="s">
        <v>12</v>
      </c>
      <c r="D280" s="21" t="s">
        <v>1363</v>
      </c>
      <c r="E280" s="19" t="s">
        <v>1425</v>
      </c>
      <c r="F280" s="19" t="s">
        <v>1424</v>
      </c>
      <c r="G280" s="19" t="s">
        <v>1426</v>
      </c>
      <c r="H280" s="19" t="s">
        <v>1427</v>
      </c>
      <c r="I280" s="19"/>
      <c r="J280" s="19" t="s">
        <v>18</v>
      </c>
      <c r="K280" s="19" t="s">
        <v>18</v>
      </c>
      <c r="L280" s="19" t="s">
        <v>19</v>
      </c>
      <c r="M280" s="19" t="s">
        <v>18</v>
      </c>
      <c r="N280" s="19" t="s">
        <v>18</v>
      </c>
      <c r="O280" s="19" t="s">
        <v>19</v>
      </c>
      <c r="P280" s="19">
        <v>103.056944</v>
      </c>
      <c r="Q280" s="19">
        <v>2.6027779999999998</v>
      </c>
      <c r="R280" s="19"/>
      <c r="S280" s="19" t="s">
        <v>41</v>
      </c>
    </row>
    <row r="281" spans="1:19" hidden="1" x14ac:dyDescent="0.25">
      <c r="A281" s="28">
        <v>2633001</v>
      </c>
      <c r="B281" s="15" t="s">
        <v>1428</v>
      </c>
      <c r="C281" s="19" t="s">
        <v>12</v>
      </c>
      <c r="D281" s="21" t="s">
        <v>1363</v>
      </c>
      <c r="E281" s="19" t="s">
        <v>1425</v>
      </c>
      <c r="F281" s="19" t="s">
        <v>1429</v>
      </c>
      <c r="G281" s="19" t="s">
        <v>1430</v>
      </c>
      <c r="H281" s="19" t="s">
        <v>1431</v>
      </c>
      <c r="I281" s="19" t="s">
        <v>1432</v>
      </c>
      <c r="J281" s="19" t="s">
        <v>19</v>
      </c>
      <c r="K281" s="19" t="s">
        <v>19</v>
      </c>
      <c r="L281" s="19" t="s">
        <v>19</v>
      </c>
      <c r="M281" s="19" t="s">
        <v>19</v>
      </c>
      <c r="N281" s="19" t="s">
        <v>18</v>
      </c>
      <c r="O281" s="19" t="s">
        <v>19</v>
      </c>
      <c r="P281" s="19">
        <v>103.381944</v>
      </c>
      <c r="Q281" s="19">
        <v>2.6263890000000001</v>
      </c>
      <c r="R281" s="19"/>
      <c r="S281" s="19" t="s">
        <v>41</v>
      </c>
    </row>
    <row r="282" spans="1:19" hidden="1" x14ac:dyDescent="0.25">
      <c r="A282" s="28">
        <v>2634193</v>
      </c>
      <c r="B282" s="15" t="s">
        <v>1433</v>
      </c>
      <c r="C282" s="19" t="s">
        <v>12</v>
      </c>
      <c r="D282" s="21" t="s">
        <v>1363</v>
      </c>
      <c r="E282" s="19" t="s">
        <v>1425</v>
      </c>
      <c r="F282" s="19" t="s">
        <v>1429</v>
      </c>
      <c r="G282" s="19" t="s">
        <v>1430</v>
      </c>
      <c r="H282" s="19" t="s">
        <v>1434</v>
      </c>
      <c r="I282" s="19"/>
      <c r="J282" s="19" t="s">
        <v>18</v>
      </c>
      <c r="K282" s="19" t="s">
        <v>18</v>
      </c>
      <c r="L282" s="19" t="s">
        <v>19</v>
      </c>
      <c r="M282" s="19" t="s">
        <v>19</v>
      </c>
      <c r="N282" s="19" t="s">
        <v>18</v>
      </c>
      <c r="O282" s="19" t="s">
        <v>19</v>
      </c>
      <c r="P282" s="19">
        <v>103.458333</v>
      </c>
      <c r="Q282" s="19">
        <v>2.6166670000000001</v>
      </c>
      <c r="R282" s="19"/>
      <c r="S282" s="19" t="s">
        <v>41</v>
      </c>
    </row>
    <row r="283" spans="1:19" hidden="1" x14ac:dyDescent="0.25">
      <c r="A283" s="28">
        <v>2636169</v>
      </c>
      <c r="B283" s="15" t="s">
        <v>2449</v>
      </c>
      <c r="C283" s="19" t="s">
        <v>12</v>
      </c>
      <c r="D283" s="21" t="s">
        <v>2011</v>
      </c>
      <c r="E283" s="19" t="s">
        <v>2292</v>
      </c>
      <c r="F283" s="19" t="s">
        <v>2357</v>
      </c>
      <c r="G283" s="19" t="s">
        <v>1430</v>
      </c>
      <c r="H283" s="19" t="s">
        <v>1041</v>
      </c>
      <c r="I283" s="19"/>
      <c r="J283" s="19" t="s">
        <v>18</v>
      </c>
      <c r="K283" s="19" t="s">
        <v>18</v>
      </c>
      <c r="L283" s="19" t="s">
        <v>18</v>
      </c>
      <c r="M283" s="19" t="s">
        <v>19</v>
      </c>
      <c r="N283" s="19" t="s">
        <v>18</v>
      </c>
      <c r="O283" s="19"/>
      <c r="P283" s="19">
        <v>103.630556</v>
      </c>
      <c r="Q283" s="19">
        <v>2.6097220000000001</v>
      </c>
      <c r="R283" s="19" t="s">
        <v>41</v>
      </c>
      <c r="S283" s="19" t="s">
        <v>2450</v>
      </c>
    </row>
    <row r="284" spans="1:19" hidden="1" x14ac:dyDescent="0.25">
      <c r="A284" s="28">
        <v>2636170</v>
      </c>
      <c r="B284" s="15" t="s">
        <v>2451</v>
      </c>
      <c r="C284" s="19" t="s">
        <v>12</v>
      </c>
      <c r="D284" s="21" t="s">
        <v>2011</v>
      </c>
      <c r="E284" s="19" t="s">
        <v>2292</v>
      </c>
      <c r="F284" s="19" t="s">
        <v>2357</v>
      </c>
      <c r="G284" s="19" t="s">
        <v>1430</v>
      </c>
      <c r="H284" s="19" t="s">
        <v>490</v>
      </c>
      <c r="I284" s="19"/>
      <c r="J284" s="19" t="s">
        <v>18</v>
      </c>
      <c r="K284" s="19" t="s">
        <v>18</v>
      </c>
      <c r="L284" s="19" t="s">
        <v>18</v>
      </c>
      <c r="M284" s="19" t="s">
        <v>18</v>
      </c>
      <c r="N284" s="19" t="s">
        <v>18</v>
      </c>
      <c r="O284" s="19"/>
      <c r="P284" s="19">
        <v>103.620833</v>
      </c>
      <c r="Q284" s="19">
        <v>2.65</v>
      </c>
      <c r="R284" s="19" t="s">
        <v>41</v>
      </c>
      <c r="S284" s="19" t="s">
        <v>2452</v>
      </c>
    </row>
    <row r="285" spans="1:19" hidden="1" x14ac:dyDescent="0.25">
      <c r="A285" s="28">
        <v>2636181</v>
      </c>
      <c r="B285" s="15" t="s">
        <v>2453</v>
      </c>
      <c r="C285" s="19" t="s">
        <v>12</v>
      </c>
      <c r="D285" s="21" t="s">
        <v>2011</v>
      </c>
      <c r="E285" s="19" t="s">
        <v>2292</v>
      </c>
      <c r="F285" s="19" t="s">
        <v>2413</v>
      </c>
      <c r="G285" s="19" t="s">
        <v>2414</v>
      </c>
      <c r="H285" s="19" t="s">
        <v>1085</v>
      </c>
      <c r="I285" s="19" t="s">
        <v>1268</v>
      </c>
      <c r="J285" s="19" t="s">
        <v>19</v>
      </c>
      <c r="K285" s="19" t="s">
        <v>19</v>
      </c>
      <c r="L285" s="19" t="s">
        <v>18</v>
      </c>
      <c r="M285" s="19" t="s">
        <v>19</v>
      </c>
      <c r="N285" s="19" t="s">
        <v>19</v>
      </c>
      <c r="O285" s="19"/>
      <c r="P285" s="19">
        <v>103.66111100000001</v>
      </c>
      <c r="Q285" s="19">
        <v>2.6361110000000001</v>
      </c>
      <c r="R285" s="19" t="s">
        <v>41</v>
      </c>
      <c r="S285" s="19" t="s">
        <v>1870</v>
      </c>
    </row>
    <row r="286" spans="1:19" hidden="1" x14ac:dyDescent="0.25">
      <c r="A286" s="29">
        <v>2714001</v>
      </c>
      <c r="B286" s="25" t="s">
        <v>2640</v>
      </c>
      <c r="C286" s="26" t="s">
        <v>12</v>
      </c>
      <c r="D286" s="24" t="s">
        <v>13</v>
      </c>
      <c r="E286" s="26" t="s">
        <v>14</v>
      </c>
      <c r="F286" s="26" t="s">
        <v>35</v>
      </c>
      <c r="G286" s="26" t="s">
        <v>26</v>
      </c>
      <c r="H286" s="26"/>
      <c r="I286" s="26"/>
      <c r="J286" s="26" t="s">
        <v>18</v>
      </c>
      <c r="K286" s="26" t="s">
        <v>18</v>
      </c>
      <c r="L286" s="26" t="s">
        <v>19</v>
      </c>
      <c r="M286" s="26" t="s">
        <v>19</v>
      </c>
      <c r="N286" s="26" t="s">
        <v>18</v>
      </c>
      <c r="O286" s="26" t="s">
        <v>19</v>
      </c>
      <c r="P286" s="26">
        <v>101.45055600000001</v>
      </c>
      <c r="Q286" s="26">
        <v>2.744167</v>
      </c>
      <c r="R286" s="26"/>
      <c r="S286" s="26"/>
    </row>
    <row r="287" spans="1:19" hidden="1" x14ac:dyDescent="0.25">
      <c r="A287" s="29">
        <v>2717114</v>
      </c>
      <c r="B287" s="25" t="s">
        <v>36</v>
      </c>
      <c r="C287" s="26" t="s">
        <v>12</v>
      </c>
      <c r="D287" s="24" t="s">
        <v>13</v>
      </c>
      <c r="E287" s="26" t="s">
        <v>16</v>
      </c>
      <c r="F287" s="26" t="s">
        <v>32</v>
      </c>
      <c r="G287" s="26" t="s">
        <v>16</v>
      </c>
      <c r="H287" s="26" t="s">
        <v>37</v>
      </c>
      <c r="I287" s="26"/>
      <c r="J287" s="26" t="s">
        <v>18</v>
      </c>
      <c r="K287" s="26" t="s">
        <v>18</v>
      </c>
      <c r="L287" s="26" t="s">
        <v>19</v>
      </c>
      <c r="M287" s="26" t="s">
        <v>19</v>
      </c>
      <c r="N287" s="26" t="s">
        <v>18</v>
      </c>
      <c r="O287" s="26" t="s">
        <v>19</v>
      </c>
      <c r="P287" s="26">
        <v>101.748611</v>
      </c>
      <c r="Q287" s="26">
        <v>2.7541669999999998</v>
      </c>
      <c r="R287" s="26"/>
      <c r="S287" s="26" t="s">
        <v>20</v>
      </c>
    </row>
    <row r="288" spans="1:19" hidden="1" x14ac:dyDescent="0.25">
      <c r="A288" s="28">
        <v>2717133</v>
      </c>
      <c r="B288" s="15" t="s">
        <v>38</v>
      </c>
      <c r="C288" s="19" t="s">
        <v>12</v>
      </c>
      <c r="D288" s="21" t="s">
        <v>13</v>
      </c>
      <c r="E288" s="19" t="s">
        <v>14</v>
      </c>
      <c r="F288" s="19"/>
      <c r="G288" s="19" t="s">
        <v>16</v>
      </c>
      <c r="H288" s="19" t="s">
        <v>39</v>
      </c>
      <c r="I288" s="19" t="s">
        <v>40</v>
      </c>
      <c r="J288" s="19" t="s">
        <v>19</v>
      </c>
      <c r="K288" s="19" t="s">
        <v>19</v>
      </c>
      <c r="L288" s="19" t="s">
        <v>18</v>
      </c>
      <c r="M288" s="19" t="s">
        <v>19</v>
      </c>
      <c r="N288" s="19" t="s">
        <v>19</v>
      </c>
      <c r="O288" s="19" t="s">
        <v>19</v>
      </c>
      <c r="P288" s="19">
        <v>101.740278</v>
      </c>
      <c r="Q288" s="19">
        <v>2.706944</v>
      </c>
      <c r="R288" s="19"/>
      <c r="S288" s="19" t="s">
        <v>41</v>
      </c>
    </row>
    <row r="289" spans="1:19" hidden="1" x14ac:dyDescent="0.25">
      <c r="A289" s="28">
        <v>2717134</v>
      </c>
      <c r="B289" s="15" t="s">
        <v>42</v>
      </c>
      <c r="C289" s="19" t="s">
        <v>12</v>
      </c>
      <c r="D289" s="21" t="s">
        <v>13</v>
      </c>
      <c r="E289" s="19" t="s">
        <v>16</v>
      </c>
      <c r="F289" s="19" t="s">
        <v>43</v>
      </c>
      <c r="G289" s="19" t="s">
        <v>43</v>
      </c>
      <c r="H289" s="19"/>
      <c r="I289" s="19"/>
      <c r="J289" s="19" t="s">
        <v>19</v>
      </c>
      <c r="K289" s="19" t="s">
        <v>18</v>
      </c>
      <c r="L289" s="19" t="s">
        <v>19</v>
      </c>
      <c r="M289" s="19" t="s">
        <v>18</v>
      </c>
      <c r="N289" s="19" t="s">
        <v>19</v>
      </c>
      <c r="O289" s="19" t="s">
        <v>19</v>
      </c>
      <c r="P289" s="19">
        <v>101.741972</v>
      </c>
      <c r="Q289" s="19">
        <v>2.7886669999999998</v>
      </c>
      <c r="R289" s="19"/>
      <c r="S289" s="19"/>
    </row>
    <row r="290" spans="1:19" hidden="1" x14ac:dyDescent="0.25">
      <c r="A290" s="29">
        <v>2718005</v>
      </c>
      <c r="B290" s="25" t="s">
        <v>1352</v>
      </c>
      <c r="C290" s="26" t="s">
        <v>12</v>
      </c>
      <c r="D290" s="24" t="s">
        <v>1303</v>
      </c>
      <c r="E290" s="26" t="s">
        <v>1340</v>
      </c>
      <c r="F290" s="26"/>
      <c r="G290" s="26" t="s">
        <v>1277</v>
      </c>
      <c r="H290" s="26" t="s">
        <v>154</v>
      </c>
      <c r="I290" s="26"/>
      <c r="J290" s="26" t="s">
        <v>18</v>
      </c>
      <c r="K290" s="26" t="s">
        <v>18</v>
      </c>
      <c r="L290" s="26" t="s">
        <v>18</v>
      </c>
      <c r="M290" s="26" t="s">
        <v>19</v>
      </c>
      <c r="N290" s="26" t="s">
        <v>19</v>
      </c>
      <c r="O290" s="26" t="s">
        <v>19</v>
      </c>
      <c r="P290" s="26">
        <v>101.82083299999999</v>
      </c>
      <c r="Q290" s="26">
        <v>2.7513890000000001</v>
      </c>
      <c r="R290" s="26"/>
      <c r="S290" s="26" t="s">
        <v>20</v>
      </c>
    </row>
    <row r="291" spans="1:19" hidden="1" x14ac:dyDescent="0.25">
      <c r="A291" s="29">
        <v>2719001</v>
      </c>
      <c r="B291" s="25" t="s">
        <v>1353</v>
      </c>
      <c r="C291" s="26" t="s">
        <v>12</v>
      </c>
      <c r="D291" s="24" t="s">
        <v>1303</v>
      </c>
      <c r="E291" s="26" t="s">
        <v>1340</v>
      </c>
      <c r="F291" s="26" t="s">
        <v>1305</v>
      </c>
      <c r="G291" s="26" t="s">
        <v>1305</v>
      </c>
      <c r="H291" s="26" t="s">
        <v>711</v>
      </c>
      <c r="I291" s="26"/>
      <c r="J291" s="26" t="s">
        <v>18</v>
      </c>
      <c r="K291" s="26" t="s">
        <v>18</v>
      </c>
      <c r="L291" s="26" t="s">
        <v>18</v>
      </c>
      <c r="M291" s="26" t="s">
        <v>18</v>
      </c>
      <c r="N291" s="26" t="s">
        <v>18</v>
      </c>
      <c r="O291" s="26" t="s">
        <v>19</v>
      </c>
      <c r="P291" s="26">
        <v>101.955556</v>
      </c>
      <c r="Q291" s="26">
        <v>2.7374999999999998</v>
      </c>
      <c r="R291" s="26"/>
      <c r="S291" s="26" t="s">
        <v>41</v>
      </c>
    </row>
    <row r="292" spans="1:19" hidden="1" x14ac:dyDescent="0.25">
      <c r="A292" s="29">
        <v>2719043</v>
      </c>
      <c r="B292" s="25" t="s">
        <v>1354</v>
      </c>
      <c r="C292" s="26" t="s">
        <v>12</v>
      </c>
      <c r="D292" s="24" t="s">
        <v>1303</v>
      </c>
      <c r="E292" s="26" t="s">
        <v>1340</v>
      </c>
      <c r="F292" s="26" t="s">
        <v>1305</v>
      </c>
      <c r="G292" s="26" t="s">
        <v>1277</v>
      </c>
      <c r="H292" s="26" t="s">
        <v>1355</v>
      </c>
      <c r="I292" s="26"/>
      <c r="J292" s="26" t="s">
        <v>18</v>
      </c>
      <c r="K292" s="26" t="s">
        <v>18</v>
      </c>
      <c r="L292" s="26" t="s">
        <v>18</v>
      </c>
      <c r="M292" s="26" t="s">
        <v>19</v>
      </c>
      <c r="N292" s="26" t="s">
        <v>18</v>
      </c>
      <c r="O292" s="26" t="s">
        <v>19</v>
      </c>
      <c r="P292" s="26">
        <v>101.947222</v>
      </c>
      <c r="Q292" s="26">
        <v>2.730556</v>
      </c>
      <c r="R292" s="26"/>
      <c r="S292" s="26" t="s">
        <v>41</v>
      </c>
    </row>
    <row r="293" spans="1:19" hidden="1" x14ac:dyDescent="0.25">
      <c r="A293" s="29">
        <v>2720041</v>
      </c>
      <c r="B293" s="25" t="s">
        <v>1356</v>
      </c>
      <c r="C293" s="26" t="s">
        <v>12</v>
      </c>
      <c r="D293" s="24" t="s">
        <v>1303</v>
      </c>
      <c r="E293" s="26" t="s">
        <v>1340</v>
      </c>
      <c r="F293" s="26" t="s">
        <v>1305</v>
      </c>
      <c r="G293" s="26" t="s">
        <v>1277</v>
      </c>
      <c r="H293" s="26" t="s">
        <v>969</v>
      </c>
      <c r="I293" s="26"/>
      <c r="J293" s="26" t="s">
        <v>18</v>
      </c>
      <c r="K293" s="26" t="s">
        <v>18</v>
      </c>
      <c r="L293" s="26" t="s">
        <v>18</v>
      </c>
      <c r="M293" s="26" t="s">
        <v>19</v>
      </c>
      <c r="N293" s="26" t="s">
        <v>18</v>
      </c>
      <c r="O293" s="26" t="s">
        <v>19</v>
      </c>
      <c r="P293" s="26">
        <v>101.995</v>
      </c>
      <c r="Q293" s="26">
        <v>2.7850000000000001</v>
      </c>
      <c r="R293" s="26"/>
      <c r="S293" s="26" t="s">
        <v>1306</v>
      </c>
    </row>
    <row r="294" spans="1:19" hidden="1" x14ac:dyDescent="0.25">
      <c r="A294" s="29">
        <v>2721073</v>
      </c>
      <c r="B294" s="25" t="s">
        <v>1357</v>
      </c>
      <c r="C294" s="26" t="s">
        <v>12</v>
      </c>
      <c r="D294" s="24" t="s">
        <v>1303</v>
      </c>
      <c r="E294" s="26" t="s">
        <v>1344</v>
      </c>
      <c r="F294" s="26"/>
      <c r="G294" s="26" t="s">
        <v>1346</v>
      </c>
      <c r="H294" s="26" t="s">
        <v>1358</v>
      </c>
      <c r="I294" s="26"/>
      <c r="J294" s="26" t="s">
        <v>18</v>
      </c>
      <c r="K294" s="26" t="s">
        <v>18</v>
      </c>
      <c r="L294" s="26" t="s">
        <v>18</v>
      </c>
      <c r="M294" s="26" t="s">
        <v>19</v>
      </c>
      <c r="N294" s="26" t="s">
        <v>19</v>
      </c>
      <c r="O294" s="26" t="s">
        <v>19</v>
      </c>
      <c r="P294" s="26">
        <v>102.126389</v>
      </c>
      <c r="Q294" s="26">
        <v>2.7388889999999999</v>
      </c>
      <c r="R294" s="26"/>
      <c r="S294" s="26" t="s">
        <v>41</v>
      </c>
    </row>
    <row r="295" spans="1:19" hidden="1" x14ac:dyDescent="0.25">
      <c r="A295" s="29">
        <v>2722002</v>
      </c>
      <c r="B295" s="25" t="s">
        <v>1359</v>
      </c>
      <c r="C295" s="26" t="s">
        <v>12</v>
      </c>
      <c r="D295" s="24" t="s">
        <v>1303</v>
      </c>
      <c r="E295" s="26" t="s">
        <v>1344</v>
      </c>
      <c r="F295" s="26"/>
      <c r="G295" s="26" t="s">
        <v>1346</v>
      </c>
      <c r="H295" s="26" t="s">
        <v>1360</v>
      </c>
      <c r="I295" s="26"/>
      <c r="J295" s="26" t="s">
        <v>19</v>
      </c>
      <c r="K295" s="26" t="s">
        <v>18</v>
      </c>
      <c r="L295" s="26" t="s">
        <v>18</v>
      </c>
      <c r="M295" s="26" t="s">
        <v>19</v>
      </c>
      <c r="N295" s="26" t="s">
        <v>18</v>
      </c>
      <c r="O295" s="26" t="s">
        <v>19</v>
      </c>
      <c r="P295" s="26">
        <v>102.26388900000001</v>
      </c>
      <c r="Q295" s="26">
        <v>2.7555559999999999</v>
      </c>
      <c r="R295" s="26"/>
      <c r="S295" s="26" t="s">
        <v>1306</v>
      </c>
    </row>
    <row r="296" spans="1:19" hidden="1" x14ac:dyDescent="0.25">
      <c r="A296" s="29">
        <v>2722003</v>
      </c>
      <c r="B296" s="25" t="s">
        <v>1361</v>
      </c>
      <c r="C296" s="26" t="s">
        <v>12</v>
      </c>
      <c r="D296" s="24" t="s">
        <v>1303</v>
      </c>
      <c r="E296" s="26" t="s">
        <v>1344</v>
      </c>
      <c r="F296" s="26" t="s">
        <v>1362</v>
      </c>
      <c r="G296" s="26" t="s">
        <v>1363</v>
      </c>
      <c r="H296" s="26" t="s">
        <v>725</v>
      </c>
      <c r="I296" s="26"/>
      <c r="J296" s="26" t="s">
        <v>18</v>
      </c>
      <c r="K296" s="26" t="s">
        <v>18</v>
      </c>
      <c r="L296" s="26" t="s">
        <v>18</v>
      </c>
      <c r="M296" s="26" t="s">
        <v>19</v>
      </c>
      <c r="N296" s="26" t="s">
        <v>18</v>
      </c>
      <c r="O296" s="26" t="s">
        <v>19</v>
      </c>
      <c r="P296" s="26">
        <v>102.288889</v>
      </c>
      <c r="Q296" s="26">
        <v>2.7124999999999999</v>
      </c>
      <c r="R296" s="26"/>
      <c r="S296" s="26" t="s">
        <v>41</v>
      </c>
    </row>
    <row r="297" spans="1:19" hidden="1" x14ac:dyDescent="0.25">
      <c r="A297" s="29">
        <v>2722074</v>
      </c>
      <c r="B297" s="25" t="s">
        <v>1364</v>
      </c>
      <c r="C297" s="26" t="s">
        <v>12</v>
      </c>
      <c r="D297" s="24" t="s">
        <v>1303</v>
      </c>
      <c r="E297" s="26" t="s">
        <v>1344</v>
      </c>
      <c r="F297" s="26"/>
      <c r="G297" s="26" t="s">
        <v>1346</v>
      </c>
      <c r="H297" s="26" t="s">
        <v>1365</v>
      </c>
      <c r="I297" s="26" t="s">
        <v>1366</v>
      </c>
      <c r="J297" s="26" t="s">
        <v>19</v>
      </c>
      <c r="K297" s="26" t="s">
        <v>19</v>
      </c>
      <c r="L297" s="26" t="s">
        <v>18</v>
      </c>
      <c r="M297" s="26" t="s">
        <v>19</v>
      </c>
      <c r="N297" s="26" t="s">
        <v>19</v>
      </c>
      <c r="O297" s="26" t="s">
        <v>19</v>
      </c>
      <c r="P297" s="26">
        <v>102.25</v>
      </c>
      <c r="Q297" s="26">
        <v>2.733333</v>
      </c>
      <c r="R297" s="26"/>
      <c r="S297" s="26" t="s">
        <v>221</v>
      </c>
    </row>
    <row r="298" spans="1:19" hidden="1" x14ac:dyDescent="0.25">
      <c r="A298" s="29">
        <v>2723001</v>
      </c>
      <c r="B298" s="25" t="s">
        <v>1367</v>
      </c>
      <c r="C298" s="26" t="s">
        <v>12</v>
      </c>
      <c r="D298" s="24" t="s">
        <v>1303</v>
      </c>
      <c r="E298" s="26" t="s">
        <v>1344</v>
      </c>
      <c r="F298" s="26" t="s">
        <v>1362</v>
      </c>
      <c r="G298" s="26" t="s">
        <v>1363</v>
      </c>
      <c r="H298" s="26" t="s">
        <v>864</v>
      </c>
      <c r="I298" s="26" t="s">
        <v>1368</v>
      </c>
      <c r="J298" s="26" t="s">
        <v>19</v>
      </c>
      <c r="K298" s="26" t="s">
        <v>19</v>
      </c>
      <c r="L298" s="26" t="s">
        <v>18</v>
      </c>
      <c r="M298" s="26" t="s">
        <v>19</v>
      </c>
      <c r="N298" s="26" t="s">
        <v>18</v>
      </c>
      <c r="O298" s="26" t="s">
        <v>19</v>
      </c>
      <c r="P298" s="26">
        <v>102.330556</v>
      </c>
      <c r="Q298" s="26">
        <v>2.7152780000000001</v>
      </c>
      <c r="R298" s="26"/>
      <c r="S298" s="26" t="s">
        <v>41</v>
      </c>
    </row>
    <row r="299" spans="1:19" hidden="1" x14ac:dyDescent="0.25">
      <c r="A299" s="29">
        <v>2723002</v>
      </c>
      <c r="B299" s="25" t="s">
        <v>1369</v>
      </c>
      <c r="C299" s="26" t="s">
        <v>12</v>
      </c>
      <c r="D299" s="24" t="s">
        <v>1303</v>
      </c>
      <c r="E299" s="26" t="s">
        <v>1344</v>
      </c>
      <c r="F299" s="26" t="s">
        <v>1362</v>
      </c>
      <c r="G299" s="26" t="s">
        <v>1363</v>
      </c>
      <c r="H299" s="26" t="s">
        <v>864</v>
      </c>
      <c r="I299" s="26" t="s">
        <v>1370</v>
      </c>
      <c r="J299" s="26" t="s">
        <v>19</v>
      </c>
      <c r="K299" s="26" t="s">
        <v>19</v>
      </c>
      <c r="L299" s="26" t="s">
        <v>19</v>
      </c>
      <c r="M299" s="26" t="s">
        <v>19</v>
      </c>
      <c r="N299" s="26" t="s">
        <v>18</v>
      </c>
      <c r="O299" s="26" t="s">
        <v>19</v>
      </c>
      <c r="P299" s="26">
        <v>102.31527800000001</v>
      </c>
      <c r="Q299" s="26">
        <v>2.7013889999999998</v>
      </c>
      <c r="R299" s="26"/>
      <c r="S299" s="26" t="s">
        <v>41</v>
      </c>
    </row>
    <row r="300" spans="1:19" hidden="1" x14ac:dyDescent="0.25">
      <c r="A300" s="29">
        <v>2723003</v>
      </c>
      <c r="B300" s="25" t="s">
        <v>1371</v>
      </c>
      <c r="C300" s="26" t="s">
        <v>12</v>
      </c>
      <c r="D300" s="24" t="s">
        <v>1303</v>
      </c>
      <c r="E300" s="26" t="s">
        <v>1344</v>
      </c>
      <c r="F300" s="26" t="s">
        <v>1362</v>
      </c>
      <c r="G300" s="26" t="s">
        <v>1363</v>
      </c>
      <c r="H300" s="26" t="s">
        <v>864</v>
      </c>
      <c r="I300" s="26" t="s">
        <v>1370</v>
      </c>
      <c r="J300" s="26" t="s">
        <v>19</v>
      </c>
      <c r="K300" s="26" t="s">
        <v>19</v>
      </c>
      <c r="L300" s="26" t="s">
        <v>18</v>
      </c>
      <c r="M300" s="26" t="s">
        <v>19</v>
      </c>
      <c r="N300" s="26" t="s">
        <v>18</v>
      </c>
      <c r="O300" s="26" t="s">
        <v>19</v>
      </c>
      <c r="P300" s="26">
        <v>102.33194399999999</v>
      </c>
      <c r="Q300" s="26">
        <v>2.7</v>
      </c>
      <c r="R300" s="26"/>
      <c r="S300" s="26" t="s">
        <v>41</v>
      </c>
    </row>
    <row r="301" spans="1:19" hidden="1" x14ac:dyDescent="0.25">
      <c r="A301" s="29">
        <v>2723004</v>
      </c>
      <c r="B301" s="25" t="s">
        <v>1372</v>
      </c>
      <c r="C301" s="26" t="s">
        <v>12</v>
      </c>
      <c r="D301" s="24" t="s">
        <v>1303</v>
      </c>
      <c r="E301" s="26" t="s">
        <v>1344</v>
      </c>
      <c r="F301" s="26" t="s">
        <v>1362</v>
      </c>
      <c r="G301" s="26" t="s">
        <v>1363</v>
      </c>
      <c r="H301" s="26" t="s">
        <v>1373</v>
      </c>
      <c r="I301" s="26"/>
      <c r="J301" s="26" t="s">
        <v>18</v>
      </c>
      <c r="K301" s="26" t="s">
        <v>18</v>
      </c>
      <c r="L301" s="26" t="s">
        <v>18</v>
      </c>
      <c r="M301" s="26" t="s">
        <v>19</v>
      </c>
      <c r="N301" s="26" t="s">
        <v>18</v>
      </c>
      <c r="O301" s="26" t="s">
        <v>19</v>
      </c>
      <c r="P301" s="26">
        <v>102.333333</v>
      </c>
      <c r="Q301" s="26">
        <v>2.7102780000000002</v>
      </c>
      <c r="R301" s="26"/>
      <c r="S301" s="26" t="s">
        <v>41</v>
      </c>
    </row>
    <row r="302" spans="1:19" hidden="1" x14ac:dyDescent="0.25">
      <c r="A302" s="29">
        <v>2723075</v>
      </c>
      <c r="B302" s="25" t="s">
        <v>1374</v>
      </c>
      <c r="C302" s="26" t="s">
        <v>12</v>
      </c>
      <c r="D302" s="24" t="s">
        <v>1303</v>
      </c>
      <c r="E302" s="26" t="s">
        <v>1344</v>
      </c>
      <c r="F302" s="26"/>
      <c r="G302" s="26" t="s">
        <v>1363</v>
      </c>
      <c r="H302" s="26" t="s">
        <v>1375</v>
      </c>
      <c r="I302" s="26"/>
      <c r="J302" s="26" t="s">
        <v>19</v>
      </c>
      <c r="K302" s="26" t="s">
        <v>19</v>
      </c>
      <c r="L302" s="26" t="s">
        <v>18</v>
      </c>
      <c r="M302" s="26" t="s">
        <v>19</v>
      </c>
      <c r="N302" s="26" t="s">
        <v>19</v>
      </c>
      <c r="O302" s="26" t="s">
        <v>19</v>
      </c>
      <c r="P302" s="26">
        <v>102.305556</v>
      </c>
      <c r="Q302" s="26">
        <v>2.8</v>
      </c>
      <c r="R302" s="26"/>
      <c r="S302" s="26" t="s">
        <v>20</v>
      </c>
    </row>
    <row r="303" spans="1:19" hidden="1" x14ac:dyDescent="0.25">
      <c r="A303" s="29">
        <v>2724076</v>
      </c>
      <c r="B303" s="25" t="s">
        <v>1376</v>
      </c>
      <c r="C303" s="26" t="s">
        <v>12</v>
      </c>
      <c r="D303" s="24" t="s">
        <v>1303</v>
      </c>
      <c r="E303" s="26" t="s">
        <v>1344</v>
      </c>
      <c r="F303" s="26"/>
      <c r="G303" s="26"/>
      <c r="H303" s="26" t="s">
        <v>654</v>
      </c>
      <c r="I303" s="26"/>
      <c r="J303" s="26" t="s">
        <v>19</v>
      </c>
      <c r="K303" s="26" t="s">
        <v>18</v>
      </c>
      <c r="L303" s="26" t="s">
        <v>18</v>
      </c>
      <c r="M303" s="26" t="s">
        <v>19</v>
      </c>
      <c r="N303" s="26" t="s">
        <v>19</v>
      </c>
      <c r="O303" s="26" t="s">
        <v>19</v>
      </c>
      <c r="P303" s="26">
        <v>102.405556</v>
      </c>
      <c r="Q303" s="26">
        <v>2.7555559999999999</v>
      </c>
      <c r="R303" s="26"/>
      <c r="S303" s="26" t="s">
        <v>20</v>
      </c>
    </row>
    <row r="304" spans="1:19" hidden="1" x14ac:dyDescent="0.25">
      <c r="A304" s="29">
        <v>2724082</v>
      </c>
      <c r="B304" s="25" t="s">
        <v>1377</v>
      </c>
      <c r="C304" s="26" t="s">
        <v>12</v>
      </c>
      <c r="D304" s="24" t="s">
        <v>1303</v>
      </c>
      <c r="E304" s="26" t="s">
        <v>1344</v>
      </c>
      <c r="F304" s="26"/>
      <c r="G304" s="26"/>
      <c r="H304" s="26" t="s">
        <v>1378</v>
      </c>
      <c r="I304" s="26"/>
      <c r="J304" s="26" t="s">
        <v>19</v>
      </c>
      <c r="K304" s="26" t="s">
        <v>18</v>
      </c>
      <c r="L304" s="26" t="s">
        <v>18</v>
      </c>
      <c r="M304" s="26" t="s">
        <v>19</v>
      </c>
      <c r="N304" s="26" t="s">
        <v>19</v>
      </c>
      <c r="O304" s="26" t="s">
        <v>19</v>
      </c>
      <c r="P304" s="26">
        <v>102.405556</v>
      </c>
      <c r="Q304" s="26">
        <v>2.7208329999999998</v>
      </c>
      <c r="R304" s="26"/>
      <c r="S304" s="26" t="s">
        <v>20</v>
      </c>
    </row>
    <row r="305" spans="1:19" hidden="1" x14ac:dyDescent="0.25">
      <c r="A305" s="29">
        <v>2725083</v>
      </c>
      <c r="B305" s="25" t="s">
        <v>1379</v>
      </c>
      <c r="C305" s="26" t="s">
        <v>12</v>
      </c>
      <c r="D305" s="24" t="s">
        <v>1303</v>
      </c>
      <c r="E305" s="26" t="s">
        <v>1344</v>
      </c>
      <c r="F305" s="26"/>
      <c r="G305" s="26"/>
      <c r="H305" s="26" t="s">
        <v>99</v>
      </c>
      <c r="I305" s="26"/>
      <c r="J305" s="26" t="s">
        <v>19</v>
      </c>
      <c r="K305" s="26" t="s">
        <v>18</v>
      </c>
      <c r="L305" s="26" t="s">
        <v>18</v>
      </c>
      <c r="M305" s="26" t="s">
        <v>19</v>
      </c>
      <c r="N305" s="26" t="s">
        <v>18</v>
      </c>
      <c r="O305" s="26" t="s">
        <v>19</v>
      </c>
      <c r="P305" s="26">
        <v>102.5125</v>
      </c>
      <c r="Q305" s="26">
        <v>2.7194440000000002</v>
      </c>
      <c r="R305" s="26"/>
      <c r="S305" s="26" t="s">
        <v>20</v>
      </c>
    </row>
    <row r="306" spans="1:19" hidden="1" x14ac:dyDescent="0.25">
      <c r="A306" s="29">
        <v>2725094</v>
      </c>
      <c r="B306" s="25" t="s">
        <v>1380</v>
      </c>
      <c r="C306" s="26" t="s">
        <v>12</v>
      </c>
      <c r="D306" s="24" t="s">
        <v>1303</v>
      </c>
      <c r="E306" s="26" t="s">
        <v>1344</v>
      </c>
      <c r="F306" s="26"/>
      <c r="G306" s="26" t="s">
        <v>1381</v>
      </c>
      <c r="H306" s="26" t="s">
        <v>1382</v>
      </c>
      <c r="I306" s="26"/>
      <c r="J306" s="26" t="s">
        <v>18</v>
      </c>
      <c r="K306" s="26" t="s">
        <v>18</v>
      </c>
      <c r="L306" s="26" t="s">
        <v>18</v>
      </c>
      <c r="M306" s="26" t="s">
        <v>19</v>
      </c>
      <c r="N306" s="26" t="s">
        <v>19</v>
      </c>
      <c r="O306" s="26" t="s">
        <v>19</v>
      </c>
      <c r="P306" s="26">
        <v>102.522222</v>
      </c>
      <c r="Q306" s="26">
        <v>2.7791670000000002</v>
      </c>
      <c r="R306" s="26"/>
      <c r="S306" s="26" t="s">
        <v>20</v>
      </c>
    </row>
    <row r="307" spans="1:19" hidden="1" x14ac:dyDescent="0.25">
      <c r="A307" s="28">
        <v>2734183</v>
      </c>
      <c r="B307" s="15" t="s">
        <v>1435</v>
      </c>
      <c r="C307" s="19" t="s">
        <v>12</v>
      </c>
      <c r="D307" s="21" t="s">
        <v>1363</v>
      </c>
      <c r="E307" s="19" t="s">
        <v>1425</v>
      </c>
      <c r="F307" s="19" t="s">
        <v>1436</v>
      </c>
      <c r="G307" s="19"/>
      <c r="H307" s="19" t="s">
        <v>1437</v>
      </c>
      <c r="I307" s="19" t="s">
        <v>1438</v>
      </c>
      <c r="J307" s="19" t="s">
        <v>19</v>
      </c>
      <c r="K307" s="19" t="s">
        <v>19</v>
      </c>
      <c r="L307" s="19" t="s">
        <v>19</v>
      </c>
      <c r="M307" s="19" t="s">
        <v>19</v>
      </c>
      <c r="N307" s="19" t="s">
        <v>18</v>
      </c>
      <c r="O307" s="19" t="s">
        <v>19</v>
      </c>
      <c r="P307" s="19">
        <v>103.45694399999999</v>
      </c>
      <c r="Q307" s="19">
        <v>2.7486109999999999</v>
      </c>
      <c r="R307" s="19"/>
      <c r="S307" s="19" t="s">
        <v>41</v>
      </c>
    </row>
    <row r="308" spans="1:19" hidden="1" x14ac:dyDescent="0.25">
      <c r="A308" s="28">
        <v>2735184</v>
      </c>
      <c r="B308" s="15" t="s">
        <v>1439</v>
      </c>
      <c r="C308" s="19" t="s">
        <v>12</v>
      </c>
      <c r="D308" s="21" t="s">
        <v>1363</v>
      </c>
      <c r="E308" s="19" t="s">
        <v>1425</v>
      </c>
      <c r="F308" s="19"/>
      <c r="G308" s="19"/>
      <c r="H308" s="19" t="s">
        <v>1440</v>
      </c>
      <c r="I308" s="19" t="s">
        <v>420</v>
      </c>
      <c r="J308" s="19" t="s">
        <v>19</v>
      </c>
      <c r="K308" s="19" t="s">
        <v>19</v>
      </c>
      <c r="L308" s="19" t="s">
        <v>18</v>
      </c>
      <c r="M308" s="19" t="s">
        <v>19</v>
      </c>
      <c r="N308" s="19" t="s">
        <v>19</v>
      </c>
      <c r="O308" s="19" t="s">
        <v>19</v>
      </c>
      <c r="P308" s="19">
        <v>103.523611</v>
      </c>
      <c r="Q308" s="19">
        <v>2.7652779999999999</v>
      </c>
      <c r="R308" s="19"/>
      <c r="S308" s="19" t="s">
        <v>41</v>
      </c>
    </row>
    <row r="309" spans="1:19" hidden="1" x14ac:dyDescent="0.25">
      <c r="A309" s="28">
        <v>2814117</v>
      </c>
      <c r="B309" s="15" t="s">
        <v>44</v>
      </c>
      <c r="C309" s="19" t="s">
        <v>12</v>
      </c>
      <c r="D309" s="21" t="s">
        <v>13</v>
      </c>
      <c r="E309" s="19" t="s">
        <v>14</v>
      </c>
      <c r="F309" s="19"/>
      <c r="G309" s="19" t="s">
        <v>26</v>
      </c>
      <c r="H309" s="19" t="s">
        <v>1643</v>
      </c>
      <c r="I309" s="19" t="s">
        <v>23</v>
      </c>
      <c r="J309" s="19" t="s">
        <v>19</v>
      </c>
      <c r="K309" s="19" t="s">
        <v>19</v>
      </c>
      <c r="L309" s="19" t="s">
        <v>18</v>
      </c>
      <c r="M309" s="19" t="s">
        <v>19</v>
      </c>
      <c r="N309" s="19" t="s">
        <v>19</v>
      </c>
      <c r="O309" s="19" t="s">
        <v>19</v>
      </c>
      <c r="P309" s="19">
        <v>101.459722</v>
      </c>
      <c r="Q309" s="19">
        <v>2.8180559999999999</v>
      </c>
      <c r="R309" s="19"/>
      <c r="S309" s="19" t="s">
        <v>20</v>
      </c>
    </row>
    <row r="310" spans="1:19" hidden="1" x14ac:dyDescent="0.25">
      <c r="A310" s="28">
        <v>2814118</v>
      </c>
      <c r="B310" s="15" t="s">
        <v>45</v>
      </c>
      <c r="C310" s="19" t="s">
        <v>12</v>
      </c>
      <c r="D310" s="21" t="s">
        <v>13</v>
      </c>
      <c r="E310" s="19" t="s">
        <v>14</v>
      </c>
      <c r="F310" s="19"/>
      <c r="G310" s="19" t="s">
        <v>26</v>
      </c>
      <c r="H310" s="19" t="s">
        <v>46</v>
      </c>
      <c r="I310" s="19" t="s">
        <v>23</v>
      </c>
      <c r="J310" s="19" t="s">
        <v>19</v>
      </c>
      <c r="K310" s="19" t="s">
        <v>19</v>
      </c>
      <c r="L310" s="19" t="s">
        <v>18</v>
      </c>
      <c r="M310" s="19" t="s">
        <v>19</v>
      </c>
      <c r="N310" s="19" t="s">
        <v>19</v>
      </c>
      <c r="O310" s="19" t="s">
        <v>19</v>
      </c>
      <c r="P310" s="19">
        <v>101.46388899999999</v>
      </c>
      <c r="Q310" s="19">
        <v>2.8</v>
      </c>
      <c r="R310" s="19"/>
      <c r="S310" s="19" t="s">
        <v>20</v>
      </c>
    </row>
    <row r="311" spans="1:19" hidden="1" x14ac:dyDescent="0.25">
      <c r="A311" s="28">
        <v>2814119</v>
      </c>
      <c r="B311" s="15" t="s">
        <v>2641</v>
      </c>
      <c r="C311" s="19" t="s">
        <v>12</v>
      </c>
      <c r="D311" s="21" t="s">
        <v>13</v>
      </c>
      <c r="E311" s="19" t="s">
        <v>14</v>
      </c>
      <c r="F311" s="19" t="s">
        <v>43</v>
      </c>
      <c r="G311" s="19" t="s">
        <v>26</v>
      </c>
      <c r="H311" s="19"/>
      <c r="I311" s="19"/>
      <c r="J311" s="19" t="s">
        <v>18</v>
      </c>
      <c r="K311" s="19" t="s">
        <v>18</v>
      </c>
      <c r="L311" s="19" t="s">
        <v>19</v>
      </c>
      <c r="M311" s="19" t="s">
        <v>19</v>
      </c>
      <c r="N311" s="19" t="s">
        <v>18</v>
      </c>
      <c r="O311" s="19" t="s">
        <v>19</v>
      </c>
      <c r="P311" s="19">
        <v>101.418333</v>
      </c>
      <c r="Q311" s="19">
        <v>2.8122220000000002</v>
      </c>
      <c r="R311" s="19"/>
      <c r="S311" s="19"/>
    </row>
    <row r="312" spans="1:19" hidden="1" x14ac:dyDescent="0.25">
      <c r="A312" s="28">
        <v>2815001</v>
      </c>
      <c r="B312" s="15" t="s">
        <v>47</v>
      </c>
      <c r="C312" s="19" t="s">
        <v>12</v>
      </c>
      <c r="D312" s="21" t="s">
        <v>13</v>
      </c>
      <c r="E312" s="19" t="s">
        <v>14</v>
      </c>
      <c r="F312" s="19" t="s">
        <v>43</v>
      </c>
      <c r="G312" s="19" t="s">
        <v>26</v>
      </c>
      <c r="H312" s="19" t="s">
        <v>48</v>
      </c>
      <c r="I312" s="19"/>
      <c r="J312" s="19" t="s">
        <v>18</v>
      </c>
      <c r="K312" s="19" t="s">
        <v>18</v>
      </c>
      <c r="L312" s="19" t="s">
        <v>19</v>
      </c>
      <c r="M312" s="19" t="s">
        <v>19</v>
      </c>
      <c r="N312" s="19" t="s">
        <v>18</v>
      </c>
      <c r="O312" s="19" t="s">
        <v>19</v>
      </c>
      <c r="P312" s="19">
        <v>101.541667</v>
      </c>
      <c r="Q312" s="19">
        <v>2.8263889999999998</v>
      </c>
      <c r="R312" s="19"/>
      <c r="S312" s="19" t="s">
        <v>41</v>
      </c>
    </row>
    <row r="313" spans="1:19" hidden="1" x14ac:dyDescent="0.25">
      <c r="A313" s="28">
        <v>2815115</v>
      </c>
      <c r="B313" s="15" t="s">
        <v>49</v>
      </c>
      <c r="C313" s="19" t="s">
        <v>12</v>
      </c>
      <c r="D313" s="21" t="s">
        <v>13</v>
      </c>
      <c r="E313" s="19" t="s">
        <v>14</v>
      </c>
      <c r="F313" s="19" t="s">
        <v>43</v>
      </c>
      <c r="G313" s="19" t="s">
        <v>26</v>
      </c>
      <c r="H313" s="19" t="s">
        <v>46</v>
      </c>
      <c r="I313" s="19"/>
      <c r="J313" s="19" t="s">
        <v>19</v>
      </c>
      <c r="K313" s="19" t="s">
        <v>18</v>
      </c>
      <c r="L313" s="19" t="s">
        <v>19</v>
      </c>
      <c r="M313" s="19" t="s">
        <v>19</v>
      </c>
      <c r="N313" s="19" t="s">
        <v>18</v>
      </c>
      <c r="O313" s="19" t="s">
        <v>19</v>
      </c>
      <c r="P313" s="19">
        <v>101.55416700000001</v>
      </c>
      <c r="Q313" s="19">
        <v>2.8277779999999999</v>
      </c>
      <c r="R313" s="19"/>
      <c r="S313" s="19" t="s">
        <v>20</v>
      </c>
    </row>
    <row r="314" spans="1:19" hidden="1" x14ac:dyDescent="0.25">
      <c r="A314" s="28">
        <v>2815116</v>
      </c>
      <c r="B314" s="15" t="s">
        <v>2642</v>
      </c>
      <c r="C314" s="19" t="s">
        <v>12</v>
      </c>
      <c r="D314" s="21" t="s">
        <v>13</v>
      </c>
      <c r="E314" s="19" t="s">
        <v>14</v>
      </c>
      <c r="F314" s="19" t="s">
        <v>43</v>
      </c>
      <c r="G314" s="19" t="s">
        <v>26</v>
      </c>
      <c r="H314" s="19"/>
      <c r="I314" s="19"/>
      <c r="J314" s="19" t="s">
        <v>18</v>
      </c>
      <c r="K314" s="19" t="s">
        <v>18</v>
      </c>
      <c r="L314" s="19" t="s">
        <v>19</v>
      </c>
      <c r="M314" s="19" t="s">
        <v>19</v>
      </c>
      <c r="N314" s="19" t="s">
        <v>18</v>
      </c>
      <c r="O314" s="19" t="s">
        <v>19</v>
      </c>
      <c r="P314" s="19">
        <v>101.50833299999999</v>
      </c>
      <c r="Q314" s="19">
        <v>2.8105560000000001</v>
      </c>
      <c r="R314" s="19"/>
      <c r="S314" s="19"/>
    </row>
    <row r="315" spans="1:19" hidden="1" x14ac:dyDescent="0.25">
      <c r="A315" s="28">
        <v>2815117</v>
      </c>
      <c r="B315" s="15" t="s">
        <v>2643</v>
      </c>
      <c r="C315" s="19" t="s">
        <v>12</v>
      </c>
      <c r="D315" s="21" t="s">
        <v>13</v>
      </c>
      <c r="E315" s="19" t="s">
        <v>14</v>
      </c>
      <c r="F315" s="19" t="s">
        <v>43</v>
      </c>
      <c r="G315" s="19" t="s">
        <v>26</v>
      </c>
      <c r="H315" s="19"/>
      <c r="I315" s="19"/>
      <c r="J315" s="19" t="s">
        <v>18</v>
      </c>
      <c r="K315" s="19" t="s">
        <v>18</v>
      </c>
      <c r="L315" s="19" t="s">
        <v>19</v>
      </c>
      <c r="M315" s="19" t="s">
        <v>19</v>
      </c>
      <c r="N315" s="19" t="s">
        <v>18</v>
      </c>
      <c r="O315" s="19" t="s">
        <v>19</v>
      </c>
      <c r="P315" s="19">
        <v>101.51472200000001</v>
      </c>
      <c r="Q315" s="19">
        <v>2.855861</v>
      </c>
      <c r="R315" s="19"/>
      <c r="S315" s="19"/>
    </row>
    <row r="316" spans="1:19" hidden="1" x14ac:dyDescent="0.25">
      <c r="A316" s="28">
        <v>2816041</v>
      </c>
      <c r="B316" s="15" t="s">
        <v>50</v>
      </c>
      <c r="C316" s="19" t="s">
        <v>12</v>
      </c>
      <c r="D316" s="21" t="s">
        <v>13</v>
      </c>
      <c r="E316" s="19" t="s">
        <v>51</v>
      </c>
      <c r="F316" s="19" t="s">
        <v>43</v>
      </c>
      <c r="G316" s="19" t="s">
        <v>43</v>
      </c>
      <c r="H316" s="19"/>
      <c r="I316" s="19"/>
      <c r="J316" s="19" t="s">
        <v>19</v>
      </c>
      <c r="K316" s="19" t="s">
        <v>18</v>
      </c>
      <c r="L316" s="19" t="s">
        <v>19</v>
      </c>
      <c r="M316" s="19" t="s">
        <v>18</v>
      </c>
      <c r="N316" s="19" t="s">
        <v>19</v>
      </c>
      <c r="O316" s="19" t="s">
        <v>19</v>
      </c>
      <c r="P316" s="19">
        <v>101.681417</v>
      </c>
      <c r="Q316" s="19">
        <v>2.8557779999999999</v>
      </c>
      <c r="R316" s="19"/>
      <c r="S316" s="19"/>
    </row>
    <row r="317" spans="1:19" hidden="1" x14ac:dyDescent="0.25">
      <c r="A317" s="28">
        <v>2816112</v>
      </c>
      <c r="B317" s="15" t="s">
        <v>52</v>
      </c>
      <c r="C317" s="19" t="s">
        <v>12</v>
      </c>
      <c r="D317" s="21" t="s">
        <v>13</v>
      </c>
      <c r="E317" s="19" t="s">
        <v>51</v>
      </c>
      <c r="F317" s="19" t="s">
        <v>53</v>
      </c>
      <c r="G317" s="19" t="s">
        <v>26</v>
      </c>
      <c r="H317" s="19" t="s">
        <v>54</v>
      </c>
      <c r="I317" s="19" t="s">
        <v>55</v>
      </c>
      <c r="J317" s="19" t="s">
        <v>19</v>
      </c>
      <c r="K317" s="19" t="s">
        <v>19</v>
      </c>
      <c r="L317" s="19" t="s">
        <v>18</v>
      </c>
      <c r="M317" s="19" t="s">
        <v>19</v>
      </c>
      <c r="N317" s="19" t="s">
        <v>19</v>
      </c>
      <c r="O317" s="19" t="s">
        <v>19</v>
      </c>
      <c r="P317" s="19">
        <v>101.663889</v>
      </c>
      <c r="Q317" s="19">
        <v>2.8958330000000001</v>
      </c>
      <c r="R317" s="19"/>
      <c r="S317" s="19" t="s">
        <v>20</v>
      </c>
    </row>
    <row r="318" spans="1:19" hidden="1" x14ac:dyDescent="0.25">
      <c r="A318" s="28">
        <v>2816113</v>
      </c>
      <c r="B318" s="15" t="s">
        <v>56</v>
      </c>
      <c r="C318" s="19" t="s">
        <v>12</v>
      </c>
      <c r="D318" s="21" t="s">
        <v>13</v>
      </c>
      <c r="E318" s="19" t="s">
        <v>16</v>
      </c>
      <c r="F318" s="19" t="s">
        <v>57</v>
      </c>
      <c r="G318" s="19" t="s">
        <v>43</v>
      </c>
      <c r="H318" s="19"/>
      <c r="I318" s="19"/>
      <c r="J318" s="19" t="s">
        <v>19</v>
      </c>
      <c r="K318" s="19" t="s">
        <v>18</v>
      </c>
      <c r="L318" s="19" t="s">
        <v>19</v>
      </c>
      <c r="M318" s="19" t="s">
        <v>18</v>
      </c>
      <c r="N318" s="19" t="s">
        <v>19</v>
      </c>
      <c r="O318" s="19" t="s">
        <v>19</v>
      </c>
      <c r="P318" s="19">
        <v>101.691806</v>
      </c>
      <c r="Q318" s="19">
        <v>2.8048609999999998</v>
      </c>
      <c r="R318" s="19"/>
      <c r="S318" s="19"/>
    </row>
    <row r="319" spans="1:19" hidden="1" x14ac:dyDescent="0.25">
      <c r="A319" s="28">
        <v>2816114</v>
      </c>
      <c r="B319" s="15" t="s">
        <v>58</v>
      </c>
      <c r="C319" s="19" t="s">
        <v>12</v>
      </c>
      <c r="D319" s="21" t="s">
        <v>13</v>
      </c>
      <c r="E319" s="19" t="s">
        <v>14</v>
      </c>
      <c r="F319" s="19" t="s">
        <v>43</v>
      </c>
      <c r="G319" s="19" t="s">
        <v>26</v>
      </c>
      <c r="H319" s="19"/>
      <c r="I319" s="19"/>
      <c r="J319" s="19" t="s">
        <v>18</v>
      </c>
      <c r="K319" s="19" t="s">
        <v>18</v>
      </c>
      <c r="L319" s="19" t="s">
        <v>19</v>
      </c>
      <c r="M319" s="19" t="s">
        <v>19</v>
      </c>
      <c r="N319" s="19" t="s">
        <v>18</v>
      </c>
      <c r="O319" s="19" t="s">
        <v>19</v>
      </c>
      <c r="P319" s="19">
        <v>101.654167</v>
      </c>
      <c r="Q319" s="19">
        <v>2.8113890000000001</v>
      </c>
      <c r="R319" s="19"/>
      <c r="S319" s="19"/>
    </row>
    <row r="320" spans="1:19" hidden="1" x14ac:dyDescent="0.25">
      <c r="A320" s="28">
        <v>2816138</v>
      </c>
      <c r="B320" s="15" t="s">
        <v>59</v>
      </c>
      <c r="C320" s="19" t="s">
        <v>12</v>
      </c>
      <c r="D320" s="21" t="s">
        <v>13</v>
      </c>
      <c r="E320" s="19" t="s">
        <v>14</v>
      </c>
      <c r="F320" s="19" t="s">
        <v>43</v>
      </c>
      <c r="G320" s="19" t="s">
        <v>43</v>
      </c>
      <c r="H320" s="19"/>
      <c r="I320" s="19"/>
      <c r="J320" s="19" t="s">
        <v>19</v>
      </c>
      <c r="K320" s="19" t="s">
        <v>18</v>
      </c>
      <c r="L320" s="19" t="s">
        <v>19</v>
      </c>
      <c r="M320" s="19" t="s">
        <v>18</v>
      </c>
      <c r="N320" s="19" t="s">
        <v>19</v>
      </c>
      <c r="O320" s="19" t="s">
        <v>19</v>
      </c>
      <c r="P320" s="19">
        <v>101.64191700000001</v>
      </c>
      <c r="Q320" s="19">
        <v>2.813472</v>
      </c>
      <c r="R320" s="19"/>
      <c r="S320" s="19"/>
    </row>
    <row r="321" spans="1:19" hidden="1" x14ac:dyDescent="0.25">
      <c r="A321" s="28">
        <v>2816139</v>
      </c>
      <c r="B321" s="15" t="s">
        <v>60</v>
      </c>
      <c r="C321" s="19" t="s">
        <v>12</v>
      </c>
      <c r="D321" s="21" t="s">
        <v>13</v>
      </c>
      <c r="E321" s="19" t="s">
        <v>14</v>
      </c>
      <c r="F321" s="19"/>
      <c r="G321" s="19"/>
      <c r="H321" s="19" t="s">
        <v>61</v>
      </c>
      <c r="I321" s="19"/>
      <c r="J321" s="19" t="s">
        <v>19</v>
      </c>
      <c r="K321" s="19" t="s">
        <v>18</v>
      </c>
      <c r="L321" s="19" t="s">
        <v>19</v>
      </c>
      <c r="M321" s="19" t="s">
        <v>19</v>
      </c>
      <c r="N321" s="19" t="s">
        <v>18</v>
      </c>
      <c r="O321" s="19" t="s">
        <v>18</v>
      </c>
      <c r="P321" s="19">
        <v>101.619167</v>
      </c>
      <c r="Q321" s="19">
        <v>2.878889</v>
      </c>
      <c r="R321" s="19"/>
      <c r="S321" s="19" t="s">
        <v>63</v>
      </c>
    </row>
    <row r="322" spans="1:19" hidden="1" x14ac:dyDescent="0.25">
      <c r="A322" s="28">
        <v>2817003</v>
      </c>
      <c r="B322" s="15" t="s">
        <v>64</v>
      </c>
      <c r="C322" s="19" t="s">
        <v>12</v>
      </c>
      <c r="D322" s="21" t="s">
        <v>13</v>
      </c>
      <c r="E322" s="19" t="s">
        <v>16</v>
      </c>
      <c r="F322" s="19" t="s">
        <v>65</v>
      </c>
      <c r="G322" s="19" t="s">
        <v>26</v>
      </c>
      <c r="H322" s="19"/>
      <c r="I322" s="19"/>
      <c r="J322" s="19" t="s">
        <v>18</v>
      </c>
      <c r="K322" s="19" t="s">
        <v>18</v>
      </c>
      <c r="L322" s="19" t="s">
        <v>19</v>
      </c>
      <c r="M322" s="19" t="s">
        <v>19</v>
      </c>
      <c r="N322" s="19" t="s">
        <v>18</v>
      </c>
      <c r="O322" s="19" t="s">
        <v>19</v>
      </c>
      <c r="P322" s="19">
        <v>101.73527799999999</v>
      </c>
      <c r="Q322" s="19">
        <v>2.861389</v>
      </c>
      <c r="R322" s="19"/>
      <c r="S322" s="19"/>
    </row>
    <row r="323" spans="1:19" hidden="1" x14ac:dyDescent="0.25">
      <c r="A323" s="29">
        <v>2818003</v>
      </c>
      <c r="B323" s="25" t="s">
        <v>1383</v>
      </c>
      <c r="C323" s="26" t="s">
        <v>12</v>
      </c>
      <c r="D323" s="24" t="s">
        <v>1303</v>
      </c>
      <c r="E323" s="26" t="s">
        <v>1340</v>
      </c>
      <c r="F323" s="26"/>
      <c r="G323" s="26"/>
      <c r="H323" s="26" t="s">
        <v>106</v>
      </c>
      <c r="I323" s="26" t="s">
        <v>1384</v>
      </c>
      <c r="J323" s="26" t="s">
        <v>19</v>
      </c>
      <c r="K323" s="26" t="s">
        <v>19</v>
      </c>
      <c r="L323" s="26" t="s">
        <v>18</v>
      </c>
      <c r="M323" s="26" t="s">
        <v>19</v>
      </c>
      <c r="N323" s="26" t="s">
        <v>19</v>
      </c>
      <c r="O323" s="26" t="s">
        <v>19</v>
      </c>
      <c r="P323" s="26">
        <v>101.8</v>
      </c>
      <c r="Q323" s="26">
        <v>2.855556</v>
      </c>
      <c r="R323" s="26"/>
      <c r="S323" s="26" t="s">
        <v>20</v>
      </c>
    </row>
    <row r="324" spans="1:19" hidden="1" x14ac:dyDescent="0.25">
      <c r="A324" s="29">
        <v>2818004</v>
      </c>
      <c r="B324" s="25" t="s">
        <v>1385</v>
      </c>
      <c r="C324" s="26" t="s">
        <v>12</v>
      </c>
      <c r="D324" s="24" t="s">
        <v>1303</v>
      </c>
      <c r="E324" s="26" t="s">
        <v>1340</v>
      </c>
      <c r="F324" s="26"/>
      <c r="G324" s="26"/>
      <c r="H324" s="26" t="s">
        <v>145</v>
      </c>
      <c r="I324" s="26" t="s">
        <v>1386</v>
      </c>
      <c r="J324" s="26" t="s">
        <v>19</v>
      </c>
      <c r="K324" s="26" t="s">
        <v>19</v>
      </c>
      <c r="L324" s="26" t="s">
        <v>18</v>
      </c>
      <c r="M324" s="26" t="s">
        <v>19</v>
      </c>
      <c r="N324" s="26" t="s">
        <v>19</v>
      </c>
      <c r="O324" s="26" t="s">
        <v>19</v>
      </c>
      <c r="P324" s="26">
        <v>101.802778</v>
      </c>
      <c r="Q324" s="26">
        <v>2.8111109999999999</v>
      </c>
      <c r="R324" s="26"/>
      <c r="S324" s="26" t="s">
        <v>20</v>
      </c>
    </row>
    <row r="325" spans="1:19" hidden="1" x14ac:dyDescent="0.25">
      <c r="A325" s="28">
        <v>2818110</v>
      </c>
      <c r="B325" s="15" t="s">
        <v>66</v>
      </c>
      <c r="C325" s="19" t="s">
        <v>12</v>
      </c>
      <c r="D325" s="21" t="s">
        <v>13</v>
      </c>
      <c r="E325" s="19" t="s">
        <v>51</v>
      </c>
      <c r="F325" s="19" t="s">
        <v>43</v>
      </c>
      <c r="G325" s="19" t="s">
        <v>26</v>
      </c>
      <c r="H325" s="19"/>
      <c r="I325" s="19"/>
      <c r="J325" s="19" t="s">
        <v>18</v>
      </c>
      <c r="K325" s="19" t="s">
        <v>18</v>
      </c>
      <c r="L325" s="19" t="s">
        <v>19</v>
      </c>
      <c r="M325" s="19" t="s">
        <v>19</v>
      </c>
      <c r="N325" s="19" t="s">
        <v>18</v>
      </c>
      <c r="O325" s="19" t="s">
        <v>19</v>
      </c>
      <c r="P325" s="19">
        <v>101.870361</v>
      </c>
      <c r="Q325" s="19">
        <v>2.8987419999999999</v>
      </c>
      <c r="R325" s="19"/>
      <c r="S325" s="19"/>
    </row>
    <row r="326" spans="1:19" hidden="1" x14ac:dyDescent="0.25">
      <c r="A326" s="28">
        <v>2818110</v>
      </c>
      <c r="B326" s="15" t="s">
        <v>67</v>
      </c>
      <c r="C326" s="19" t="s">
        <v>12</v>
      </c>
      <c r="D326" s="21" t="s">
        <v>13</v>
      </c>
      <c r="E326" s="19" t="s">
        <v>51</v>
      </c>
      <c r="F326" s="19"/>
      <c r="G326" s="19" t="s">
        <v>26</v>
      </c>
      <c r="H326" s="19" t="s">
        <v>68</v>
      </c>
      <c r="I326" s="19"/>
      <c r="J326" s="19" t="s">
        <v>19</v>
      </c>
      <c r="K326" s="19" t="s">
        <v>19</v>
      </c>
      <c r="L326" s="19" t="s">
        <v>19</v>
      </c>
      <c r="M326" s="19" t="s">
        <v>19</v>
      </c>
      <c r="N326" s="19" t="s">
        <v>18</v>
      </c>
      <c r="O326" s="19" t="s">
        <v>19</v>
      </c>
      <c r="P326" s="19">
        <v>101.851389</v>
      </c>
      <c r="Q326" s="19">
        <v>2.8736109999999999</v>
      </c>
      <c r="R326" s="19"/>
      <c r="S326" s="19" t="s">
        <v>41</v>
      </c>
    </row>
    <row r="327" spans="1:19" hidden="1" x14ac:dyDescent="0.25">
      <c r="A327" s="29">
        <v>2819001</v>
      </c>
      <c r="B327" s="25" t="s">
        <v>1387</v>
      </c>
      <c r="C327" s="26" t="s">
        <v>12</v>
      </c>
      <c r="D327" s="24" t="s">
        <v>1303</v>
      </c>
      <c r="E327" s="26" t="s">
        <v>1340</v>
      </c>
      <c r="F327" s="26"/>
      <c r="G327" s="26"/>
      <c r="H327" s="26" t="s">
        <v>1388</v>
      </c>
      <c r="I327" s="26" t="s">
        <v>1389</v>
      </c>
      <c r="J327" s="26" t="s">
        <v>19</v>
      </c>
      <c r="K327" s="26" t="s">
        <v>19</v>
      </c>
      <c r="L327" s="26" t="s">
        <v>18</v>
      </c>
      <c r="M327" s="26" t="s">
        <v>19</v>
      </c>
      <c r="N327" s="26" t="s">
        <v>19</v>
      </c>
      <c r="O327" s="26" t="s">
        <v>19</v>
      </c>
      <c r="P327" s="26">
        <v>101.916667</v>
      </c>
      <c r="Q327" s="26">
        <v>2.8791669999999998</v>
      </c>
      <c r="R327" s="26"/>
      <c r="S327" s="26" t="s">
        <v>20</v>
      </c>
    </row>
    <row r="328" spans="1:19" hidden="1" x14ac:dyDescent="0.25">
      <c r="A328" s="29">
        <v>2819002</v>
      </c>
      <c r="B328" s="25" t="s">
        <v>1390</v>
      </c>
      <c r="C328" s="26" t="s">
        <v>12</v>
      </c>
      <c r="D328" s="24" t="s">
        <v>1303</v>
      </c>
      <c r="E328" s="26" t="s">
        <v>1340</v>
      </c>
      <c r="F328" s="26"/>
      <c r="G328" s="26" t="s">
        <v>1277</v>
      </c>
      <c r="H328" s="26" t="s">
        <v>1041</v>
      </c>
      <c r="I328" s="26"/>
      <c r="J328" s="26" t="s">
        <v>18</v>
      </c>
      <c r="K328" s="26" t="s">
        <v>18</v>
      </c>
      <c r="L328" s="26" t="s">
        <v>18</v>
      </c>
      <c r="M328" s="26" t="s">
        <v>19</v>
      </c>
      <c r="N328" s="26" t="s">
        <v>18</v>
      </c>
      <c r="O328" s="26" t="s">
        <v>19</v>
      </c>
      <c r="P328" s="26">
        <v>101.920833</v>
      </c>
      <c r="Q328" s="26">
        <v>2.7986110000000002</v>
      </c>
      <c r="R328" s="26"/>
      <c r="S328" s="26" t="s">
        <v>1391</v>
      </c>
    </row>
    <row r="329" spans="1:19" hidden="1" x14ac:dyDescent="0.25">
      <c r="A329" s="29">
        <v>2820011</v>
      </c>
      <c r="B329" s="25" t="s">
        <v>1392</v>
      </c>
      <c r="C329" s="26" t="s">
        <v>12</v>
      </c>
      <c r="D329" s="24" t="s">
        <v>1303</v>
      </c>
      <c r="E329" s="26" t="s">
        <v>1393</v>
      </c>
      <c r="F329" s="26"/>
      <c r="G329" s="26"/>
      <c r="H329" s="26" t="s">
        <v>1394</v>
      </c>
      <c r="I329" s="26"/>
      <c r="J329" s="26" t="s">
        <v>18</v>
      </c>
      <c r="K329" s="26" t="s">
        <v>18</v>
      </c>
      <c r="L329" s="26" t="s">
        <v>18</v>
      </c>
      <c r="M329" s="26" t="s">
        <v>19</v>
      </c>
      <c r="N329" s="26" t="s">
        <v>18</v>
      </c>
      <c r="O329" s="26" t="s">
        <v>19</v>
      </c>
      <c r="P329" s="26">
        <v>102.01944399999999</v>
      </c>
      <c r="Q329" s="26">
        <v>2.9122219999999999</v>
      </c>
      <c r="R329" s="26"/>
      <c r="S329" s="26" t="s">
        <v>1306</v>
      </c>
    </row>
    <row r="330" spans="1:19" hidden="1" x14ac:dyDescent="0.25">
      <c r="A330" s="29">
        <v>2820041</v>
      </c>
      <c r="B330" s="25" t="s">
        <v>1395</v>
      </c>
      <c r="C330" s="26" t="s">
        <v>12</v>
      </c>
      <c r="D330" s="24" t="s">
        <v>1303</v>
      </c>
      <c r="E330" s="26" t="s">
        <v>1393</v>
      </c>
      <c r="F330" s="26"/>
      <c r="G330" s="26"/>
      <c r="H330" s="26" t="s">
        <v>46</v>
      </c>
      <c r="I330" s="26" t="s">
        <v>246</v>
      </c>
      <c r="J330" s="26" t="s">
        <v>19</v>
      </c>
      <c r="K330" s="26" t="s">
        <v>19</v>
      </c>
      <c r="L330" s="26" t="s">
        <v>18</v>
      </c>
      <c r="M330" s="26" t="s">
        <v>19</v>
      </c>
      <c r="N330" s="26" t="s">
        <v>19</v>
      </c>
      <c r="O330" s="26" t="s">
        <v>19</v>
      </c>
      <c r="P330" s="26">
        <v>102.001389</v>
      </c>
      <c r="Q330" s="26">
        <v>2.7888890000000002</v>
      </c>
      <c r="R330" s="26"/>
      <c r="S330" s="26" t="s">
        <v>164</v>
      </c>
    </row>
    <row r="331" spans="1:19" hidden="1" x14ac:dyDescent="0.25">
      <c r="A331" s="29">
        <v>2822001</v>
      </c>
      <c r="B331" s="25" t="s">
        <v>1396</v>
      </c>
      <c r="C331" s="26" t="s">
        <v>12</v>
      </c>
      <c r="D331" s="24" t="s">
        <v>1303</v>
      </c>
      <c r="E331" s="26" t="s">
        <v>1344</v>
      </c>
      <c r="F331" s="26"/>
      <c r="G331" s="26"/>
      <c r="H331" s="26" t="s">
        <v>1260</v>
      </c>
      <c r="I331" s="26"/>
      <c r="J331" s="26" t="s">
        <v>18</v>
      </c>
      <c r="K331" s="26" t="s">
        <v>18</v>
      </c>
      <c r="L331" s="26" t="s">
        <v>18</v>
      </c>
      <c r="M331" s="26" t="s">
        <v>19</v>
      </c>
      <c r="N331" s="26" t="s">
        <v>18</v>
      </c>
      <c r="O331" s="26" t="s">
        <v>19</v>
      </c>
      <c r="P331" s="26">
        <v>102.25833299999999</v>
      </c>
      <c r="Q331" s="26">
        <v>2.8694440000000001</v>
      </c>
      <c r="R331" s="26"/>
      <c r="S331" s="26" t="s">
        <v>41</v>
      </c>
    </row>
    <row r="332" spans="1:19" hidden="1" x14ac:dyDescent="0.25">
      <c r="A332" s="29">
        <v>2823091</v>
      </c>
      <c r="B332" s="25" t="s">
        <v>1397</v>
      </c>
      <c r="C332" s="26" t="s">
        <v>12</v>
      </c>
      <c r="D332" s="24" t="s">
        <v>1303</v>
      </c>
      <c r="E332" s="26" t="s">
        <v>1381</v>
      </c>
      <c r="F332" s="26"/>
      <c r="G332" s="26"/>
      <c r="H332" s="26" t="s">
        <v>471</v>
      </c>
      <c r="I332" s="26"/>
      <c r="J332" s="26" t="s">
        <v>18</v>
      </c>
      <c r="K332" s="26" t="s">
        <v>18</v>
      </c>
      <c r="L332" s="26" t="s">
        <v>18</v>
      </c>
      <c r="M332" s="26" t="s">
        <v>19</v>
      </c>
      <c r="N332" s="26" t="s">
        <v>18</v>
      </c>
      <c r="O332" s="26" t="s">
        <v>19</v>
      </c>
      <c r="P332" s="26">
        <v>102.320556</v>
      </c>
      <c r="Q332" s="26">
        <v>2.895</v>
      </c>
      <c r="R332" s="26"/>
      <c r="S332" s="26" t="s">
        <v>1398</v>
      </c>
    </row>
    <row r="333" spans="1:19" hidden="1" x14ac:dyDescent="0.25">
      <c r="A333" s="29">
        <v>2824093</v>
      </c>
      <c r="B333" s="25" t="s">
        <v>1399</v>
      </c>
      <c r="C333" s="26" t="s">
        <v>12</v>
      </c>
      <c r="D333" s="24" t="s">
        <v>1303</v>
      </c>
      <c r="E333" s="26" t="s">
        <v>1381</v>
      </c>
      <c r="F333" s="26"/>
      <c r="G333" s="26"/>
      <c r="H333" s="26" t="s">
        <v>1400</v>
      </c>
      <c r="I333" s="26"/>
      <c r="J333" s="26" t="s">
        <v>18</v>
      </c>
      <c r="K333" s="26" t="s">
        <v>18</v>
      </c>
      <c r="L333" s="26" t="s">
        <v>18</v>
      </c>
      <c r="M333" s="26" t="s">
        <v>19</v>
      </c>
      <c r="N333" s="26" t="s">
        <v>18</v>
      </c>
      <c r="O333" s="26" t="s">
        <v>19</v>
      </c>
      <c r="P333" s="26">
        <v>102.45</v>
      </c>
      <c r="Q333" s="26">
        <v>2.8166669999999998</v>
      </c>
      <c r="R333" s="26"/>
      <c r="S333" s="26" t="s">
        <v>20</v>
      </c>
    </row>
    <row r="334" spans="1:19" hidden="1" x14ac:dyDescent="0.25">
      <c r="A334" s="29">
        <v>2824095</v>
      </c>
      <c r="B334" s="25" t="s">
        <v>1401</v>
      </c>
      <c r="C334" s="26" t="s">
        <v>12</v>
      </c>
      <c r="D334" s="24" t="s">
        <v>1303</v>
      </c>
      <c r="E334" s="26" t="s">
        <v>1381</v>
      </c>
      <c r="F334" s="26" t="s">
        <v>1402</v>
      </c>
      <c r="G334" s="26"/>
      <c r="H334" s="26" t="s">
        <v>1403</v>
      </c>
      <c r="I334" s="26"/>
      <c r="J334" s="26" t="s">
        <v>19</v>
      </c>
      <c r="K334" s="26" t="s">
        <v>18</v>
      </c>
      <c r="L334" s="26" t="s">
        <v>18</v>
      </c>
      <c r="M334" s="26" t="s">
        <v>19</v>
      </c>
      <c r="N334" s="26" t="s">
        <v>18</v>
      </c>
      <c r="O334" s="26" t="s">
        <v>19</v>
      </c>
      <c r="P334" s="26">
        <v>102.48611099999999</v>
      </c>
      <c r="Q334" s="26">
        <v>2.848611</v>
      </c>
      <c r="R334" s="26"/>
      <c r="S334" s="26" t="s">
        <v>20</v>
      </c>
    </row>
    <row r="335" spans="1:19" hidden="1" x14ac:dyDescent="0.25">
      <c r="A335" s="28">
        <v>2828173</v>
      </c>
      <c r="B335" s="15" t="s">
        <v>1441</v>
      </c>
      <c r="C335" s="19" t="s">
        <v>12</v>
      </c>
      <c r="D335" s="21" t="s">
        <v>1363</v>
      </c>
      <c r="E335" s="19" t="s">
        <v>1442</v>
      </c>
      <c r="F335" s="19" t="s">
        <v>1443</v>
      </c>
      <c r="G335" s="19" t="s">
        <v>1425</v>
      </c>
      <c r="H335" s="19" t="s">
        <v>1444</v>
      </c>
      <c r="I335" s="19"/>
      <c r="J335" s="19" t="s">
        <v>18</v>
      </c>
      <c r="K335" s="19" t="s">
        <v>18</v>
      </c>
      <c r="L335" s="19" t="s">
        <v>19</v>
      </c>
      <c r="M335" s="19" t="s">
        <v>19</v>
      </c>
      <c r="N335" s="19" t="s">
        <v>18</v>
      </c>
      <c r="O335" s="19" t="s">
        <v>19</v>
      </c>
      <c r="P335" s="19">
        <v>102.85555600000001</v>
      </c>
      <c r="Q335" s="19">
        <v>2.85</v>
      </c>
      <c r="R335" s="19"/>
      <c r="S335" s="19" t="s">
        <v>41</v>
      </c>
    </row>
    <row r="336" spans="1:19" hidden="1" x14ac:dyDescent="0.25">
      <c r="A336" s="28">
        <v>2829001</v>
      </c>
      <c r="B336" s="15" t="s">
        <v>1445</v>
      </c>
      <c r="C336" s="19" t="s">
        <v>12</v>
      </c>
      <c r="D336" s="21" t="s">
        <v>1363</v>
      </c>
      <c r="E336" s="19" t="s">
        <v>1425</v>
      </c>
      <c r="F336" s="19" t="s">
        <v>1446</v>
      </c>
      <c r="G336" s="19" t="s">
        <v>1425</v>
      </c>
      <c r="H336" s="19" t="s">
        <v>1447</v>
      </c>
      <c r="I336" s="19"/>
      <c r="J336" s="19" t="s">
        <v>18</v>
      </c>
      <c r="K336" s="19" t="s">
        <v>18</v>
      </c>
      <c r="L336" s="19" t="s">
        <v>19</v>
      </c>
      <c r="M336" s="19" t="s">
        <v>19</v>
      </c>
      <c r="N336" s="19" t="s">
        <v>18</v>
      </c>
      <c r="O336" s="19" t="s">
        <v>19</v>
      </c>
      <c r="P336" s="19">
        <v>102.9375</v>
      </c>
      <c r="Q336" s="19">
        <v>2.8125</v>
      </c>
      <c r="R336" s="19"/>
      <c r="S336" s="19" t="s">
        <v>41</v>
      </c>
    </row>
    <row r="337" spans="1:19" hidden="1" x14ac:dyDescent="0.25">
      <c r="A337" s="28">
        <v>2831179</v>
      </c>
      <c r="B337" s="15" t="s">
        <v>1448</v>
      </c>
      <c r="C337" s="19" t="s">
        <v>12</v>
      </c>
      <c r="D337" s="21" t="s">
        <v>1363</v>
      </c>
      <c r="E337" s="19" t="s">
        <v>1425</v>
      </c>
      <c r="F337" s="19" t="s">
        <v>1449</v>
      </c>
      <c r="G337" s="19" t="s">
        <v>1425</v>
      </c>
      <c r="H337" s="19" t="s">
        <v>125</v>
      </c>
      <c r="I337" s="19"/>
      <c r="J337" s="19" t="s">
        <v>18</v>
      </c>
      <c r="K337" s="19" t="s">
        <v>18</v>
      </c>
      <c r="L337" s="19" t="s">
        <v>19</v>
      </c>
      <c r="M337" s="19" t="s">
        <v>19</v>
      </c>
      <c r="N337" s="19" t="s">
        <v>18</v>
      </c>
      <c r="O337" s="19" t="s">
        <v>19</v>
      </c>
      <c r="P337" s="19">
        <v>103.186111</v>
      </c>
      <c r="Q337" s="19">
        <v>2.8888889999999998</v>
      </c>
      <c r="R337" s="19"/>
      <c r="S337" s="19" t="s">
        <v>41</v>
      </c>
    </row>
    <row r="338" spans="1:19" hidden="1" x14ac:dyDescent="0.25">
      <c r="A338" s="28">
        <v>2834001</v>
      </c>
      <c r="B338" s="15" t="s">
        <v>1450</v>
      </c>
      <c r="C338" s="19" t="s">
        <v>12</v>
      </c>
      <c r="D338" s="21" t="s">
        <v>1363</v>
      </c>
      <c r="E338" s="19" t="s">
        <v>1425</v>
      </c>
      <c r="F338" s="19" t="s">
        <v>1449</v>
      </c>
      <c r="G338" s="19" t="s">
        <v>1425</v>
      </c>
      <c r="H338" s="19" t="s">
        <v>1451</v>
      </c>
      <c r="I338" s="19"/>
      <c r="J338" s="19" t="s">
        <v>18</v>
      </c>
      <c r="K338" s="19" t="s">
        <v>18</v>
      </c>
      <c r="L338" s="19" t="s">
        <v>19</v>
      </c>
      <c r="M338" s="19" t="s">
        <v>19</v>
      </c>
      <c r="N338" s="19" t="s">
        <v>18</v>
      </c>
      <c r="O338" s="19" t="s">
        <v>19</v>
      </c>
      <c r="P338" s="19">
        <v>103.45</v>
      </c>
      <c r="Q338" s="19">
        <v>2.8125</v>
      </c>
      <c r="R338" s="19"/>
      <c r="S338" s="19" t="s">
        <v>41</v>
      </c>
    </row>
    <row r="339" spans="1:19" hidden="1" x14ac:dyDescent="0.25">
      <c r="A339" s="28">
        <v>2834180</v>
      </c>
      <c r="B339" s="15" t="s">
        <v>1452</v>
      </c>
      <c r="C339" s="19" t="s">
        <v>12</v>
      </c>
      <c r="D339" s="21" t="s">
        <v>1363</v>
      </c>
      <c r="E339" s="19" t="s">
        <v>1425</v>
      </c>
      <c r="F339" s="19" t="s">
        <v>1449</v>
      </c>
      <c r="G339" s="19" t="s">
        <v>1425</v>
      </c>
      <c r="H339" s="19" t="s">
        <v>1453</v>
      </c>
      <c r="I339" s="19"/>
      <c r="J339" s="19" t="s">
        <v>18</v>
      </c>
      <c r="K339" s="19" t="s">
        <v>18</v>
      </c>
      <c r="L339" s="19" t="s">
        <v>18</v>
      </c>
      <c r="M339" s="19" t="s">
        <v>19</v>
      </c>
      <c r="N339" s="19" t="s">
        <v>19</v>
      </c>
      <c r="O339" s="19" t="s">
        <v>19</v>
      </c>
      <c r="P339" s="19">
        <v>103.430556</v>
      </c>
      <c r="Q339" s="19">
        <v>2.8861110000000001</v>
      </c>
      <c r="R339" s="19"/>
      <c r="S339" s="19"/>
    </row>
    <row r="340" spans="1:19" hidden="1" x14ac:dyDescent="0.25">
      <c r="A340" s="28">
        <v>2834181</v>
      </c>
      <c r="B340" s="15" t="s">
        <v>1454</v>
      </c>
      <c r="C340" s="19" t="s">
        <v>12</v>
      </c>
      <c r="D340" s="21" t="s">
        <v>1363</v>
      </c>
      <c r="E340" s="19" t="s">
        <v>1425</v>
      </c>
      <c r="F340" s="19" t="s">
        <v>1449</v>
      </c>
      <c r="G340" s="19" t="s">
        <v>1425</v>
      </c>
      <c r="H340" s="19" t="s">
        <v>1455</v>
      </c>
      <c r="I340" s="19"/>
      <c r="J340" s="19" t="s">
        <v>18</v>
      </c>
      <c r="K340" s="19" t="s">
        <v>18</v>
      </c>
      <c r="L340" s="19" t="s">
        <v>18</v>
      </c>
      <c r="M340" s="19" t="s">
        <v>19</v>
      </c>
      <c r="N340" s="19" t="s">
        <v>19</v>
      </c>
      <c r="O340" s="19" t="s">
        <v>19</v>
      </c>
      <c r="P340" s="19">
        <v>103.494444</v>
      </c>
      <c r="Q340" s="19">
        <v>2.8111109999999999</v>
      </c>
      <c r="R340" s="19"/>
      <c r="S340" s="19" t="s">
        <v>41</v>
      </c>
    </row>
    <row r="341" spans="1:19" hidden="1" x14ac:dyDescent="0.25">
      <c r="A341" s="28">
        <v>2841001</v>
      </c>
      <c r="B341" s="15" t="s">
        <v>1456</v>
      </c>
      <c r="C341" s="19" t="s">
        <v>12</v>
      </c>
      <c r="D341" s="21" t="s">
        <v>1363</v>
      </c>
      <c r="E341" s="19" t="s">
        <v>1457</v>
      </c>
      <c r="F341" s="19"/>
      <c r="G341" s="19"/>
      <c r="H341" s="19" t="s">
        <v>286</v>
      </c>
      <c r="I341" s="19"/>
      <c r="J341" s="19" t="s">
        <v>18</v>
      </c>
      <c r="K341" s="19" t="s">
        <v>18</v>
      </c>
      <c r="L341" s="19" t="s">
        <v>19</v>
      </c>
      <c r="M341" s="19" t="s">
        <v>18</v>
      </c>
      <c r="N341" s="19" t="s">
        <v>18</v>
      </c>
      <c r="O341" s="19" t="s">
        <v>19</v>
      </c>
      <c r="P341" s="19">
        <v>104.165278</v>
      </c>
      <c r="Q341" s="19">
        <v>2.8180559999999999</v>
      </c>
      <c r="R341" s="19"/>
      <c r="S341" s="19" t="s">
        <v>41</v>
      </c>
    </row>
    <row r="342" spans="1:19" hidden="1" x14ac:dyDescent="0.25">
      <c r="A342" s="28">
        <v>2841005</v>
      </c>
      <c r="B342" s="15" t="s">
        <v>1458</v>
      </c>
      <c r="C342" s="19" t="s">
        <v>12</v>
      </c>
      <c r="D342" s="21" t="s">
        <v>1363</v>
      </c>
      <c r="E342" s="19" t="s">
        <v>1457</v>
      </c>
      <c r="F342" s="19"/>
      <c r="G342" s="19"/>
      <c r="H342" s="19"/>
      <c r="I342" s="19"/>
      <c r="J342" s="19" t="s">
        <v>19</v>
      </c>
      <c r="K342" s="19" t="s">
        <v>18</v>
      </c>
      <c r="L342" s="19" t="s">
        <v>19</v>
      </c>
      <c r="M342" s="19" t="s">
        <v>19</v>
      </c>
      <c r="N342" s="19" t="s">
        <v>18</v>
      </c>
      <c r="O342" s="19" t="s">
        <v>19</v>
      </c>
      <c r="P342" s="19">
        <v>104.19895</v>
      </c>
      <c r="Q342" s="19">
        <v>2.8138890000000001</v>
      </c>
      <c r="R342" s="19"/>
      <c r="S342" s="19"/>
    </row>
    <row r="343" spans="1:19" hidden="1" x14ac:dyDescent="0.25">
      <c r="A343" s="28">
        <v>2841005</v>
      </c>
      <c r="B343" s="15" t="s">
        <v>1459</v>
      </c>
      <c r="C343" s="19" t="s">
        <v>12</v>
      </c>
      <c r="D343" s="21" t="s">
        <v>1363</v>
      </c>
      <c r="E343" s="19" t="s">
        <v>1457</v>
      </c>
      <c r="F343" s="19"/>
      <c r="G343" s="19"/>
      <c r="H343" s="19"/>
      <c r="I343" s="19"/>
      <c r="J343" s="19" t="s">
        <v>19</v>
      </c>
      <c r="K343" s="19" t="s">
        <v>18</v>
      </c>
      <c r="L343" s="19" t="s">
        <v>19</v>
      </c>
      <c r="M343" s="19" t="s">
        <v>18</v>
      </c>
      <c r="N343" s="19" t="s">
        <v>19</v>
      </c>
      <c r="O343" s="19" t="s">
        <v>19</v>
      </c>
      <c r="P343" s="19">
        <v>104.171667</v>
      </c>
      <c r="Q343" s="19">
        <v>2.72</v>
      </c>
      <c r="R343" s="19"/>
      <c r="S343" s="19"/>
    </row>
    <row r="344" spans="1:19" hidden="1" x14ac:dyDescent="0.25">
      <c r="A344" s="28">
        <v>2841191</v>
      </c>
      <c r="B344" s="15" t="s">
        <v>1460</v>
      </c>
      <c r="C344" s="19" t="s">
        <v>12</v>
      </c>
      <c r="D344" s="21" t="s">
        <v>1363</v>
      </c>
      <c r="E344" s="19" t="s">
        <v>1457</v>
      </c>
      <c r="F344" s="19"/>
      <c r="G344" s="19"/>
      <c r="H344" s="19" t="s">
        <v>1461</v>
      </c>
      <c r="I344" s="19" t="s">
        <v>1177</v>
      </c>
      <c r="J344" s="19" t="s">
        <v>19</v>
      </c>
      <c r="K344" s="19" t="s">
        <v>19</v>
      </c>
      <c r="L344" s="19" t="s">
        <v>18</v>
      </c>
      <c r="M344" s="19" t="s">
        <v>19</v>
      </c>
      <c r="N344" s="19" t="s">
        <v>19</v>
      </c>
      <c r="O344" s="19" t="s">
        <v>19</v>
      </c>
      <c r="P344" s="19">
        <v>104.16111100000001</v>
      </c>
      <c r="Q344" s="19">
        <v>2.8180559999999999</v>
      </c>
      <c r="R344" s="19"/>
      <c r="S344" s="19" t="s">
        <v>279</v>
      </c>
    </row>
    <row r="345" spans="1:19" hidden="1" x14ac:dyDescent="0.25">
      <c r="A345" s="28">
        <v>2913001</v>
      </c>
      <c r="B345" s="15" t="s">
        <v>2644</v>
      </c>
      <c r="C345" s="19" t="s">
        <v>12</v>
      </c>
      <c r="D345" s="21" t="s">
        <v>13</v>
      </c>
      <c r="E345" s="19" t="s">
        <v>69</v>
      </c>
      <c r="F345" s="19" t="s">
        <v>70</v>
      </c>
      <c r="G345" s="19" t="s">
        <v>69</v>
      </c>
      <c r="H345" s="19" t="s">
        <v>71</v>
      </c>
      <c r="I345" s="19"/>
      <c r="J345" s="19" t="s">
        <v>18</v>
      </c>
      <c r="K345" s="19" t="s">
        <v>18</v>
      </c>
      <c r="L345" s="19" t="s">
        <v>19</v>
      </c>
      <c r="M345" s="19" t="s">
        <v>19</v>
      </c>
      <c r="N345" s="19" t="s">
        <v>18</v>
      </c>
      <c r="O345" s="19" t="s">
        <v>19</v>
      </c>
      <c r="P345" s="19">
        <v>101.393056</v>
      </c>
      <c r="Q345" s="19">
        <v>2.9305560000000002</v>
      </c>
      <c r="R345" s="19"/>
      <c r="S345" s="19" t="s">
        <v>41</v>
      </c>
    </row>
    <row r="346" spans="1:19" hidden="1" x14ac:dyDescent="0.25">
      <c r="A346" s="28">
        <v>2913121</v>
      </c>
      <c r="B346" s="15" t="s">
        <v>72</v>
      </c>
      <c r="C346" s="19" t="s">
        <v>12</v>
      </c>
      <c r="D346" s="21" t="s">
        <v>13</v>
      </c>
      <c r="E346" s="19" t="s">
        <v>14</v>
      </c>
      <c r="F346" s="19" t="s">
        <v>73</v>
      </c>
      <c r="G346" s="19" t="s">
        <v>69</v>
      </c>
      <c r="H346" s="19" t="s">
        <v>74</v>
      </c>
      <c r="I346" s="19"/>
      <c r="J346" s="19" t="s">
        <v>18</v>
      </c>
      <c r="K346" s="19" t="s">
        <v>18</v>
      </c>
      <c r="L346" s="19" t="s">
        <v>19</v>
      </c>
      <c r="M346" s="19" t="s">
        <v>19</v>
      </c>
      <c r="N346" s="19" t="s">
        <v>18</v>
      </c>
      <c r="O346" s="19" t="s">
        <v>19</v>
      </c>
      <c r="P346" s="19">
        <v>101.358333</v>
      </c>
      <c r="Q346" s="19">
        <v>2.911111</v>
      </c>
      <c r="R346" s="19"/>
      <c r="S346" s="19" t="s">
        <v>20</v>
      </c>
    </row>
    <row r="347" spans="1:19" hidden="1" x14ac:dyDescent="0.25">
      <c r="A347" s="28">
        <v>2913122</v>
      </c>
      <c r="B347" s="15" t="s">
        <v>75</v>
      </c>
      <c r="C347" s="19" t="s">
        <v>12</v>
      </c>
      <c r="D347" s="21" t="s">
        <v>13</v>
      </c>
      <c r="E347" s="19" t="s">
        <v>69</v>
      </c>
      <c r="F347" s="19" t="s">
        <v>70</v>
      </c>
      <c r="G347" s="19" t="s">
        <v>69</v>
      </c>
      <c r="H347" s="19" t="s">
        <v>76</v>
      </c>
      <c r="I347" s="19"/>
      <c r="J347" s="19" t="s">
        <v>18</v>
      </c>
      <c r="K347" s="19" t="s">
        <v>18</v>
      </c>
      <c r="L347" s="19" t="s">
        <v>19</v>
      </c>
      <c r="M347" s="19" t="s">
        <v>19</v>
      </c>
      <c r="N347" s="19" t="s">
        <v>18</v>
      </c>
      <c r="O347" s="19" t="s">
        <v>19</v>
      </c>
      <c r="P347" s="19">
        <v>101.322222</v>
      </c>
      <c r="Q347" s="19">
        <v>2.9416669999999998</v>
      </c>
      <c r="R347" s="19"/>
      <c r="S347" s="19" t="s">
        <v>41</v>
      </c>
    </row>
    <row r="348" spans="1:19" hidden="1" x14ac:dyDescent="0.25">
      <c r="A348" s="28">
        <v>2913123</v>
      </c>
      <c r="B348" s="15" t="s">
        <v>77</v>
      </c>
      <c r="C348" s="19" t="s">
        <v>12</v>
      </c>
      <c r="D348" s="21" t="s">
        <v>13</v>
      </c>
      <c r="E348" s="19" t="s">
        <v>69</v>
      </c>
      <c r="F348" s="19" t="s">
        <v>78</v>
      </c>
      <c r="G348" s="19" t="s">
        <v>69</v>
      </c>
      <c r="H348" s="19"/>
      <c r="I348" s="19"/>
      <c r="J348" s="19" t="s">
        <v>18</v>
      </c>
      <c r="K348" s="19" t="s">
        <v>18</v>
      </c>
      <c r="L348" s="19" t="s">
        <v>19</v>
      </c>
      <c r="M348" s="19" t="s">
        <v>19</v>
      </c>
      <c r="N348" s="19" t="s">
        <v>18</v>
      </c>
      <c r="O348" s="19" t="s">
        <v>19</v>
      </c>
      <c r="P348" s="19">
        <v>101.33805599999999</v>
      </c>
      <c r="Q348" s="19">
        <v>2.938056</v>
      </c>
      <c r="R348" s="19"/>
      <c r="S348" s="19"/>
    </row>
    <row r="349" spans="1:19" hidden="1" x14ac:dyDescent="0.25">
      <c r="A349" s="28">
        <v>2914120</v>
      </c>
      <c r="B349" s="15" t="s">
        <v>79</v>
      </c>
      <c r="C349" s="19" t="s">
        <v>12</v>
      </c>
      <c r="D349" s="21" t="s">
        <v>13</v>
      </c>
      <c r="E349" s="19" t="s">
        <v>69</v>
      </c>
      <c r="F349" s="19" t="s">
        <v>70</v>
      </c>
      <c r="G349" s="19" t="s">
        <v>69</v>
      </c>
      <c r="H349" s="19" t="s">
        <v>80</v>
      </c>
      <c r="I349" s="19"/>
      <c r="J349" s="19" t="s">
        <v>19</v>
      </c>
      <c r="K349" s="19" t="s">
        <v>19</v>
      </c>
      <c r="L349" s="19" t="s">
        <v>18</v>
      </c>
      <c r="M349" s="19" t="s">
        <v>19</v>
      </c>
      <c r="N349" s="19" t="s">
        <v>19</v>
      </c>
      <c r="O349" s="19" t="s">
        <v>19</v>
      </c>
      <c r="P349" s="19">
        <v>101.42361099999999</v>
      </c>
      <c r="Q349" s="19">
        <v>2.9819439999999999</v>
      </c>
      <c r="R349" s="19"/>
      <c r="S349" s="19" t="s">
        <v>20</v>
      </c>
    </row>
    <row r="350" spans="1:19" hidden="1" x14ac:dyDescent="0.25">
      <c r="A350" s="28">
        <v>2914122</v>
      </c>
      <c r="B350" s="15" t="s">
        <v>2645</v>
      </c>
      <c r="C350" s="19" t="s">
        <v>12</v>
      </c>
      <c r="D350" s="21" t="s">
        <v>13</v>
      </c>
      <c r="E350" s="19" t="s">
        <v>14</v>
      </c>
      <c r="F350" s="19" t="s">
        <v>43</v>
      </c>
      <c r="G350" s="19" t="s">
        <v>26</v>
      </c>
      <c r="H350" s="19"/>
      <c r="I350" s="19"/>
      <c r="J350" s="19" t="s">
        <v>18</v>
      </c>
      <c r="K350" s="19" t="s">
        <v>18</v>
      </c>
      <c r="L350" s="19" t="s">
        <v>19</v>
      </c>
      <c r="M350" s="19" t="s">
        <v>19</v>
      </c>
      <c r="N350" s="19" t="s">
        <v>18</v>
      </c>
      <c r="O350" s="19" t="s">
        <v>19</v>
      </c>
      <c r="P350" s="19">
        <v>101.434167</v>
      </c>
      <c r="Q350" s="19">
        <v>2.9563890000000002</v>
      </c>
      <c r="R350" s="19"/>
      <c r="S350" s="19"/>
    </row>
    <row r="351" spans="1:19" hidden="1" x14ac:dyDescent="0.25">
      <c r="A351" s="28">
        <v>2914123</v>
      </c>
      <c r="B351" s="15" t="s">
        <v>2646</v>
      </c>
      <c r="C351" s="19" t="s">
        <v>12</v>
      </c>
      <c r="D351" s="21" t="s">
        <v>13</v>
      </c>
      <c r="E351" s="19" t="s">
        <v>14</v>
      </c>
      <c r="F351" s="19" t="s">
        <v>43</v>
      </c>
      <c r="G351" s="19" t="s">
        <v>26</v>
      </c>
      <c r="H351" s="19"/>
      <c r="I351" s="19"/>
      <c r="J351" s="19" t="s">
        <v>18</v>
      </c>
      <c r="K351" s="19" t="s">
        <v>18</v>
      </c>
      <c r="L351" s="19" t="s">
        <v>19</v>
      </c>
      <c r="M351" s="19" t="s">
        <v>19</v>
      </c>
      <c r="N351" s="19" t="s">
        <v>18</v>
      </c>
      <c r="O351" s="19" t="s">
        <v>19</v>
      </c>
      <c r="P351" s="19">
        <v>101.434167</v>
      </c>
      <c r="Q351" s="19">
        <v>2.9563890000000002</v>
      </c>
      <c r="R351" s="19"/>
      <c r="S351" s="19"/>
    </row>
    <row r="352" spans="1:19" hidden="1" x14ac:dyDescent="0.25">
      <c r="A352" s="28">
        <v>2915116</v>
      </c>
      <c r="B352" s="15" t="s">
        <v>81</v>
      </c>
      <c r="C352" s="19" t="s">
        <v>12</v>
      </c>
      <c r="D352" s="21" t="s">
        <v>13</v>
      </c>
      <c r="E352" s="19" t="s">
        <v>14</v>
      </c>
      <c r="F352" s="19" t="s">
        <v>73</v>
      </c>
      <c r="G352" s="19" t="s">
        <v>26</v>
      </c>
      <c r="H352" s="19" t="s">
        <v>82</v>
      </c>
      <c r="I352" s="19"/>
      <c r="J352" s="19" t="s">
        <v>18</v>
      </c>
      <c r="K352" s="19" t="s">
        <v>18</v>
      </c>
      <c r="L352" s="19" t="s">
        <v>19</v>
      </c>
      <c r="M352" s="19" t="s">
        <v>19</v>
      </c>
      <c r="N352" s="19" t="s">
        <v>18</v>
      </c>
      <c r="O352" s="19" t="s">
        <v>19</v>
      </c>
      <c r="P352" s="19">
        <v>101.57638900000001</v>
      </c>
      <c r="Q352" s="19">
        <v>2.911111</v>
      </c>
      <c r="R352" s="19"/>
      <c r="S352" s="19" t="s">
        <v>20</v>
      </c>
    </row>
    <row r="353" spans="1:19" hidden="1" x14ac:dyDescent="0.25">
      <c r="A353" s="28">
        <v>2915117</v>
      </c>
      <c r="B353" s="15" t="s">
        <v>83</v>
      </c>
      <c r="C353" s="19" t="s">
        <v>12</v>
      </c>
      <c r="D353" s="21" t="s">
        <v>13</v>
      </c>
      <c r="E353" s="19" t="s">
        <v>69</v>
      </c>
      <c r="F353" s="19" t="s">
        <v>70</v>
      </c>
      <c r="G353" s="19" t="s">
        <v>69</v>
      </c>
      <c r="H353" s="19"/>
      <c r="I353" s="19"/>
      <c r="J353" s="19" t="s">
        <v>18</v>
      </c>
      <c r="K353" s="19" t="s">
        <v>18</v>
      </c>
      <c r="L353" s="19" t="s">
        <v>19</v>
      </c>
      <c r="M353" s="19" t="s">
        <v>19</v>
      </c>
      <c r="N353" s="19" t="s">
        <v>18</v>
      </c>
      <c r="O353" s="19" t="s">
        <v>19</v>
      </c>
      <c r="P353" s="19">
        <v>101.725556</v>
      </c>
      <c r="Q353" s="19">
        <v>2.6376940000000002</v>
      </c>
      <c r="R353" s="19"/>
      <c r="S353" s="19"/>
    </row>
    <row r="354" spans="1:19" hidden="1" x14ac:dyDescent="0.25">
      <c r="A354" s="28">
        <v>2915117</v>
      </c>
      <c r="B354" s="15" t="s">
        <v>84</v>
      </c>
      <c r="C354" s="19" t="s">
        <v>12</v>
      </c>
      <c r="D354" s="21" t="s">
        <v>13</v>
      </c>
      <c r="E354" s="19" t="s">
        <v>85</v>
      </c>
      <c r="F354" s="19" t="s">
        <v>86</v>
      </c>
      <c r="G354" s="19" t="s">
        <v>78</v>
      </c>
      <c r="H354" s="19"/>
      <c r="I354" s="19"/>
      <c r="J354" s="19" t="s">
        <v>19</v>
      </c>
      <c r="K354" s="19" t="s">
        <v>18</v>
      </c>
      <c r="L354" s="19" t="s">
        <v>19</v>
      </c>
      <c r="M354" s="19" t="s">
        <v>18</v>
      </c>
      <c r="N354" s="19" t="s">
        <v>19</v>
      </c>
      <c r="O354" s="19" t="s">
        <v>19</v>
      </c>
      <c r="P354" s="19">
        <v>101.580417</v>
      </c>
      <c r="Q354" s="19">
        <v>2.9796109999999998</v>
      </c>
      <c r="R354" s="19"/>
      <c r="S354" s="19"/>
    </row>
    <row r="355" spans="1:19" hidden="1" x14ac:dyDescent="0.25">
      <c r="A355" s="28">
        <v>2916001</v>
      </c>
      <c r="B355" s="15" t="s">
        <v>87</v>
      </c>
      <c r="C355" s="19" t="s">
        <v>12</v>
      </c>
      <c r="D355" s="21" t="s">
        <v>13</v>
      </c>
      <c r="E355" s="19" t="s">
        <v>14</v>
      </c>
      <c r="F355" s="19" t="s">
        <v>43</v>
      </c>
      <c r="G355" s="19" t="s">
        <v>26</v>
      </c>
      <c r="H355" s="19"/>
      <c r="I355" s="19"/>
      <c r="J355" s="19" t="s">
        <v>18</v>
      </c>
      <c r="K355" s="19" t="s">
        <v>18</v>
      </c>
      <c r="L355" s="19" t="s">
        <v>19</v>
      </c>
      <c r="M355" s="19" t="s">
        <v>19</v>
      </c>
      <c r="N355" s="19" t="s">
        <v>18</v>
      </c>
      <c r="O355" s="19" t="s">
        <v>19</v>
      </c>
      <c r="P355" s="19">
        <v>101.697222</v>
      </c>
      <c r="Q355" s="19">
        <v>2.911111</v>
      </c>
      <c r="R355" s="19"/>
      <c r="S355" s="19"/>
    </row>
    <row r="356" spans="1:19" hidden="1" x14ac:dyDescent="0.25">
      <c r="A356" s="28">
        <v>2916077</v>
      </c>
      <c r="B356" s="15" t="s">
        <v>88</v>
      </c>
      <c r="C356" s="19" t="s">
        <v>12</v>
      </c>
      <c r="D356" s="21" t="s">
        <v>13</v>
      </c>
      <c r="E356" s="19" t="s">
        <v>51</v>
      </c>
      <c r="F356" s="19" t="s">
        <v>73</v>
      </c>
      <c r="G356" s="19" t="s">
        <v>26</v>
      </c>
      <c r="H356" s="19" t="s">
        <v>46</v>
      </c>
      <c r="I356" s="19" t="s">
        <v>89</v>
      </c>
      <c r="J356" s="19" t="s">
        <v>19</v>
      </c>
      <c r="K356" s="19" t="s">
        <v>19</v>
      </c>
      <c r="L356" s="19" t="s">
        <v>18</v>
      </c>
      <c r="M356" s="19" t="s">
        <v>19</v>
      </c>
      <c r="N356" s="19" t="s">
        <v>19</v>
      </c>
      <c r="O356" s="19" t="s">
        <v>19</v>
      </c>
      <c r="P356" s="19">
        <v>101.618056</v>
      </c>
      <c r="Q356" s="19">
        <v>2.983333</v>
      </c>
      <c r="R356" s="19"/>
      <c r="S356" s="19" t="s">
        <v>20</v>
      </c>
    </row>
    <row r="357" spans="1:19" hidden="1" x14ac:dyDescent="0.25">
      <c r="A357" s="28">
        <v>2917001</v>
      </c>
      <c r="B357" s="15" t="s">
        <v>90</v>
      </c>
      <c r="C357" s="19" t="s">
        <v>12</v>
      </c>
      <c r="D357" s="21" t="s">
        <v>13</v>
      </c>
      <c r="E357" s="19" t="s">
        <v>51</v>
      </c>
      <c r="F357" s="19" t="s">
        <v>73</v>
      </c>
      <c r="G357" s="19" t="s">
        <v>26</v>
      </c>
      <c r="H357" s="19" t="s">
        <v>91</v>
      </c>
      <c r="I357" s="19"/>
      <c r="J357" s="19" t="s">
        <v>18</v>
      </c>
      <c r="K357" s="19" t="s">
        <v>18</v>
      </c>
      <c r="L357" s="19" t="s">
        <v>19</v>
      </c>
      <c r="M357" s="19" t="s">
        <v>19</v>
      </c>
      <c r="N357" s="19" t="s">
        <v>18</v>
      </c>
      <c r="O357" s="19" t="s">
        <v>19</v>
      </c>
      <c r="P357" s="19">
        <v>101.78580599999999</v>
      </c>
      <c r="Q357" s="19">
        <v>2.996111</v>
      </c>
      <c r="R357" s="19"/>
      <c r="S357" s="19" t="s">
        <v>41</v>
      </c>
    </row>
    <row r="358" spans="1:19" hidden="1" x14ac:dyDescent="0.25">
      <c r="A358" s="28">
        <v>2917002</v>
      </c>
      <c r="B358" s="15" t="s">
        <v>92</v>
      </c>
      <c r="C358" s="19" t="s">
        <v>12</v>
      </c>
      <c r="D358" s="21" t="s">
        <v>13</v>
      </c>
      <c r="E358" s="19" t="s">
        <v>14</v>
      </c>
      <c r="F358" s="19" t="s">
        <v>93</v>
      </c>
      <c r="G358" s="19" t="s">
        <v>26</v>
      </c>
      <c r="H358" s="19"/>
      <c r="I358" s="19"/>
      <c r="J358" s="19" t="s">
        <v>18</v>
      </c>
      <c r="K358" s="19" t="s">
        <v>18</v>
      </c>
      <c r="L358" s="19" t="s">
        <v>19</v>
      </c>
      <c r="M358" s="19" t="s">
        <v>19</v>
      </c>
      <c r="N358" s="19" t="s">
        <v>18</v>
      </c>
      <c r="O358" s="19" t="s">
        <v>19</v>
      </c>
      <c r="P358" s="19">
        <v>101.75</v>
      </c>
      <c r="Q358" s="19">
        <v>2.9452780000000001</v>
      </c>
      <c r="R358" s="19"/>
      <c r="S358" s="19"/>
    </row>
    <row r="359" spans="1:19" hidden="1" x14ac:dyDescent="0.25">
      <c r="A359" s="28">
        <v>2917003</v>
      </c>
      <c r="B359" s="15" t="s">
        <v>94</v>
      </c>
      <c r="C359" s="19" t="s">
        <v>12</v>
      </c>
      <c r="D359" s="21" t="s">
        <v>13</v>
      </c>
      <c r="E359" s="19" t="s">
        <v>95</v>
      </c>
      <c r="F359" s="19" t="s">
        <v>43</v>
      </c>
      <c r="G359" s="19" t="s">
        <v>26</v>
      </c>
      <c r="H359" s="19"/>
      <c r="I359" s="19"/>
      <c r="J359" s="19" t="s">
        <v>18</v>
      </c>
      <c r="K359" s="19" t="s">
        <v>18</v>
      </c>
      <c r="L359" s="19" t="s">
        <v>19</v>
      </c>
      <c r="M359" s="19" t="s">
        <v>19</v>
      </c>
      <c r="N359" s="19" t="s">
        <v>18</v>
      </c>
      <c r="O359" s="19" t="s">
        <v>19</v>
      </c>
      <c r="P359" s="19">
        <v>101.763611</v>
      </c>
      <c r="Q359" s="19">
        <v>2.9361109999999999</v>
      </c>
      <c r="R359" s="19"/>
      <c r="S359" s="19" t="s">
        <v>41</v>
      </c>
    </row>
    <row r="360" spans="1:19" hidden="1" x14ac:dyDescent="0.25">
      <c r="A360" s="28">
        <v>2917105</v>
      </c>
      <c r="B360" s="15" t="s">
        <v>96</v>
      </c>
      <c r="C360" s="19" t="s">
        <v>12</v>
      </c>
      <c r="D360" s="21" t="s">
        <v>13</v>
      </c>
      <c r="E360" s="19" t="s">
        <v>51</v>
      </c>
      <c r="F360" s="19" t="s">
        <v>73</v>
      </c>
      <c r="G360" s="19" t="s">
        <v>26</v>
      </c>
      <c r="H360" s="19" t="s">
        <v>1858</v>
      </c>
      <c r="I360" s="19" t="s">
        <v>97</v>
      </c>
      <c r="J360" s="19" t="s">
        <v>19</v>
      </c>
      <c r="K360" s="19" t="s">
        <v>19</v>
      </c>
      <c r="L360" s="19" t="s">
        <v>19</v>
      </c>
      <c r="M360" s="19" t="s">
        <v>19</v>
      </c>
      <c r="N360" s="19" t="s">
        <v>19</v>
      </c>
      <c r="O360" s="19" t="s">
        <v>19</v>
      </c>
      <c r="P360" s="19">
        <v>101.795833</v>
      </c>
      <c r="Q360" s="19">
        <v>2.9930560000000002</v>
      </c>
      <c r="R360" s="19"/>
      <c r="S360" s="19" t="s">
        <v>41</v>
      </c>
    </row>
    <row r="361" spans="1:19" hidden="1" x14ac:dyDescent="0.25">
      <c r="A361" s="28">
        <v>2917106</v>
      </c>
      <c r="B361" s="15" t="s">
        <v>98</v>
      </c>
      <c r="C361" s="19" t="s">
        <v>12</v>
      </c>
      <c r="D361" s="21" t="s">
        <v>13</v>
      </c>
      <c r="E361" s="19" t="s">
        <v>51</v>
      </c>
      <c r="F361" s="19" t="s">
        <v>73</v>
      </c>
      <c r="G361" s="19" t="s">
        <v>26</v>
      </c>
      <c r="H361" s="19" t="s">
        <v>99</v>
      </c>
      <c r="I361" s="19" t="s">
        <v>100</v>
      </c>
      <c r="J361" s="19" t="s">
        <v>19</v>
      </c>
      <c r="K361" s="19" t="s">
        <v>19</v>
      </c>
      <c r="L361" s="19" t="s">
        <v>18</v>
      </c>
      <c r="M361" s="19" t="s">
        <v>19</v>
      </c>
      <c r="N361" s="19" t="s">
        <v>19</v>
      </c>
      <c r="O361" s="19" t="s">
        <v>19</v>
      </c>
      <c r="P361" s="19">
        <v>101.727778</v>
      </c>
      <c r="Q361" s="19">
        <v>2.9763890000000002</v>
      </c>
      <c r="R361" s="19"/>
      <c r="S361" s="19" t="s">
        <v>20</v>
      </c>
    </row>
    <row r="362" spans="1:19" hidden="1" x14ac:dyDescent="0.25">
      <c r="A362" s="28">
        <v>2917111</v>
      </c>
      <c r="B362" s="15" t="s">
        <v>101</v>
      </c>
      <c r="C362" s="19" t="s">
        <v>12</v>
      </c>
      <c r="D362" s="21" t="s">
        <v>13</v>
      </c>
      <c r="E362" s="19" t="s">
        <v>51</v>
      </c>
      <c r="F362" s="19" t="s">
        <v>73</v>
      </c>
      <c r="G362" s="19" t="s">
        <v>26</v>
      </c>
      <c r="H362" s="19" t="s">
        <v>102</v>
      </c>
      <c r="I362" s="19"/>
      <c r="J362" s="19" t="s">
        <v>19</v>
      </c>
      <c r="K362" s="19" t="s">
        <v>19</v>
      </c>
      <c r="L362" s="19" t="s">
        <v>18</v>
      </c>
      <c r="M362" s="19" t="s">
        <v>19</v>
      </c>
      <c r="N362" s="19" t="s">
        <v>19</v>
      </c>
      <c r="O362" s="19" t="s">
        <v>19</v>
      </c>
      <c r="P362" s="19">
        <v>101.73055600000001</v>
      </c>
      <c r="Q362" s="19">
        <v>2.9513889999999998</v>
      </c>
      <c r="R362" s="19"/>
      <c r="S362" s="19" t="s">
        <v>20</v>
      </c>
    </row>
    <row r="363" spans="1:19" hidden="1" x14ac:dyDescent="0.25">
      <c r="A363" s="28">
        <v>2917112</v>
      </c>
      <c r="B363" s="15" t="s">
        <v>103</v>
      </c>
      <c r="C363" s="19" t="s">
        <v>12</v>
      </c>
      <c r="D363" s="21" t="s">
        <v>13</v>
      </c>
      <c r="E363" s="19" t="s">
        <v>51</v>
      </c>
      <c r="F363" s="19" t="s">
        <v>43</v>
      </c>
      <c r="G363" s="19" t="s">
        <v>43</v>
      </c>
      <c r="H363" s="19"/>
      <c r="I363" s="19"/>
      <c r="J363" s="19" t="s">
        <v>19</v>
      </c>
      <c r="K363" s="19" t="s">
        <v>18</v>
      </c>
      <c r="L363" s="19" t="s">
        <v>19</v>
      </c>
      <c r="M363" s="19" t="s">
        <v>18</v>
      </c>
      <c r="N363" s="19" t="s">
        <v>19</v>
      </c>
      <c r="O363" s="19" t="s">
        <v>19</v>
      </c>
      <c r="P363" s="19">
        <v>101.7855</v>
      </c>
      <c r="Q363" s="19">
        <v>2.9926940000000002</v>
      </c>
      <c r="R363" s="19"/>
      <c r="S363" s="19"/>
    </row>
    <row r="364" spans="1:19" hidden="1" x14ac:dyDescent="0.25">
      <c r="A364" s="28">
        <v>2918106</v>
      </c>
      <c r="B364" s="15" t="s">
        <v>104</v>
      </c>
      <c r="C364" s="19" t="s">
        <v>12</v>
      </c>
      <c r="D364" s="21" t="s">
        <v>13</v>
      </c>
      <c r="E364" s="19" t="s">
        <v>51</v>
      </c>
      <c r="F364" s="19" t="s">
        <v>104</v>
      </c>
      <c r="G364" s="19" t="s">
        <v>43</v>
      </c>
      <c r="H364" s="19"/>
      <c r="I364" s="19"/>
      <c r="J364" s="19" t="s">
        <v>19</v>
      </c>
      <c r="K364" s="19" t="s">
        <v>18</v>
      </c>
      <c r="L364" s="19" t="s">
        <v>19</v>
      </c>
      <c r="M364" s="19" t="s">
        <v>18</v>
      </c>
      <c r="N364" s="19" t="s">
        <v>19</v>
      </c>
      <c r="O364" s="19" t="s">
        <v>19</v>
      </c>
      <c r="P364" s="19">
        <v>101.821917</v>
      </c>
      <c r="Q364" s="19">
        <v>2.9151940000000001</v>
      </c>
      <c r="R364" s="19"/>
      <c r="S364" s="19"/>
    </row>
    <row r="365" spans="1:19" hidden="1" x14ac:dyDescent="0.25">
      <c r="A365" s="28">
        <v>2918109</v>
      </c>
      <c r="B365" s="15" t="s">
        <v>105</v>
      </c>
      <c r="C365" s="19" t="s">
        <v>12</v>
      </c>
      <c r="D365" s="21" t="s">
        <v>13</v>
      </c>
      <c r="E365" s="19" t="s">
        <v>51</v>
      </c>
      <c r="F365" s="19" t="s">
        <v>104</v>
      </c>
      <c r="G365" s="19" t="s">
        <v>26</v>
      </c>
      <c r="H365" s="19" t="s">
        <v>106</v>
      </c>
      <c r="I365" s="19"/>
      <c r="J365" s="19" t="s">
        <v>19</v>
      </c>
      <c r="K365" s="19" t="s">
        <v>19</v>
      </c>
      <c r="L365" s="19" t="s">
        <v>18</v>
      </c>
      <c r="M365" s="19" t="s">
        <v>19</v>
      </c>
      <c r="N365" s="19" t="s">
        <v>19</v>
      </c>
      <c r="O365" s="19" t="s">
        <v>19</v>
      </c>
      <c r="P365" s="19">
        <v>101.865278</v>
      </c>
      <c r="Q365" s="19">
        <v>2.9194439999999999</v>
      </c>
      <c r="R365" s="19"/>
      <c r="S365" s="19" t="s">
        <v>20</v>
      </c>
    </row>
    <row r="366" spans="1:19" hidden="1" x14ac:dyDescent="0.25">
      <c r="A366" s="29">
        <v>2920012</v>
      </c>
      <c r="B366" s="25" t="s">
        <v>1404</v>
      </c>
      <c r="C366" s="26" t="s">
        <v>12</v>
      </c>
      <c r="D366" s="24" t="s">
        <v>1303</v>
      </c>
      <c r="E366" s="26" t="s">
        <v>1393</v>
      </c>
      <c r="F366" s="26"/>
      <c r="G366" s="26"/>
      <c r="H366" s="26" t="s">
        <v>827</v>
      </c>
      <c r="I366" s="26"/>
      <c r="J366" s="26" t="s">
        <v>19</v>
      </c>
      <c r="K366" s="26" t="s">
        <v>18</v>
      </c>
      <c r="L366" s="26" t="s">
        <v>18</v>
      </c>
      <c r="M366" s="26" t="s">
        <v>19</v>
      </c>
      <c r="N366" s="26" t="s">
        <v>18</v>
      </c>
      <c r="O366" s="26" t="s">
        <v>19</v>
      </c>
      <c r="P366" s="26">
        <v>102.06527800000001</v>
      </c>
      <c r="Q366" s="26">
        <v>2.9444439999999998</v>
      </c>
      <c r="R366" s="26"/>
      <c r="S366" s="26" t="s">
        <v>41</v>
      </c>
    </row>
    <row r="367" spans="1:19" hidden="1" x14ac:dyDescent="0.25">
      <c r="A367" s="29">
        <v>2921013</v>
      </c>
      <c r="B367" s="25" t="s">
        <v>1405</v>
      </c>
      <c r="C367" s="26" t="s">
        <v>12</v>
      </c>
      <c r="D367" s="24" t="s">
        <v>1303</v>
      </c>
      <c r="E367" s="26" t="s">
        <v>1393</v>
      </c>
      <c r="F367" s="26"/>
      <c r="G367" s="26"/>
      <c r="H367" s="26" t="s">
        <v>1394</v>
      </c>
      <c r="I367" s="26"/>
      <c r="J367" s="26" t="s">
        <v>19</v>
      </c>
      <c r="K367" s="26" t="s">
        <v>18</v>
      </c>
      <c r="L367" s="26" t="s">
        <v>18</v>
      </c>
      <c r="M367" s="26" t="s">
        <v>19</v>
      </c>
      <c r="N367" s="26" t="s">
        <v>18</v>
      </c>
      <c r="O367" s="26" t="s">
        <v>19</v>
      </c>
      <c r="P367" s="26">
        <v>102.125</v>
      </c>
      <c r="Q367" s="26">
        <v>2.9666670000000002</v>
      </c>
      <c r="R367" s="26"/>
      <c r="S367" s="26" t="s">
        <v>1406</v>
      </c>
    </row>
    <row r="368" spans="1:19" hidden="1" x14ac:dyDescent="0.25">
      <c r="A368" s="29">
        <v>2922017</v>
      </c>
      <c r="B368" s="25" t="s">
        <v>1407</v>
      </c>
      <c r="C368" s="26" t="s">
        <v>12</v>
      </c>
      <c r="D368" s="24" t="s">
        <v>1303</v>
      </c>
      <c r="E368" s="26" t="s">
        <v>1393</v>
      </c>
      <c r="F368" s="26"/>
      <c r="G368" s="26" t="s">
        <v>1363</v>
      </c>
      <c r="H368" s="26" t="s">
        <v>1408</v>
      </c>
      <c r="I368" s="26" t="s">
        <v>1338</v>
      </c>
      <c r="J368" s="26" t="s">
        <v>19</v>
      </c>
      <c r="K368" s="26" t="s">
        <v>19</v>
      </c>
      <c r="L368" s="26" t="s">
        <v>18</v>
      </c>
      <c r="M368" s="26" t="s">
        <v>19</v>
      </c>
      <c r="N368" s="26" t="s">
        <v>19</v>
      </c>
      <c r="O368" s="26" t="s">
        <v>19</v>
      </c>
      <c r="P368" s="26">
        <v>102.202778</v>
      </c>
      <c r="Q368" s="26">
        <v>2.956944</v>
      </c>
      <c r="R368" s="26"/>
      <c r="S368" s="26" t="s">
        <v>41</v>
      </c>
    </row>
    <row r="369" spans="1:19" hidden="1" x14ac:dyDescent="0.25">
      <c r="A369" s="29">
        <v>2922018</v>
      </c>
      <c r="B369" s="25" t="s">
        <v>1409</v>
      </c>
      <c r="C369" s="26" t="s">
        <v>12</v>
      </c>
      <c r="D369" s="24" t="s">
        <v>1303</v>
      </c>
      <c r="E369" s="26" t="s">
        <v>1393</v>
      </c>
      <c r="F369" s="26"/>
      <c r="G369" s="26" t="s">
        <v>1363</v>
      </c>
      <c r="H369" s="26" t="s">
        <v>1410</v>
      </c>
      <c r="I369" s="26"/>
      <c r="J369" s="26" t="s">
        <v>18</v>
      </c>
      <c r="K369" s="26" t="s">
        <v>18</v>
      </c>
      <c r="L369" s="26" t="s">
        <v>18</v>
      </c>
      <c r="M369" s="26" t="s">
        <v>19</v>
      </c>
      <c r="N369" s="26" t="s">
        <v>19</v>
      </c>
      <c r="O369" s="26" t="s">
        <v>19</v>
      </c>
      <c r="P369" s="26">
        <v>102.254167</v>
      </c>
      <c r="Q369" s="26">
        <v>2.973611</v>
      </c>
      <c r="R369" s="26"/>
      <c r="S369" s="26" t="s">
        <v>20</v>
      </c>
    </row>
    <row r="370" spans="1:19" hidden="1" x14ac:dyDescent="0.25">
      <c r="A370" s="29">
        <v>2923001</v>
      </c>
      <c r="B370" s="25" t="s">
        <v>1411</v>
      </c>
      <c r="C370" s="26" t="s">
        <v>12</v>
      </c>
      <c r="D370" s="24" t="s">
        <v>1303</v>
      </c>
      <c r="E370" s="26" t="s">
        <v>1381</v>
      </c>
      <c r="F370" s="26" t="s">
        <v>1412</v>
      </c>
      <c r="G370" s="26" t="s">
        <v>1412</v>
      </c>
      <c r="H370" s="26"/>
      <c r="I370" s="26"/>
      <c r="J370" s="26" t="s">
        <v>19</v>
      </c>
      <c r="K370" s="26" t="s">
        <v>18</v>
      </c>
      <c r="L370" s="26" t="s">
        <v>19</v>
      </c>
      <c r="M370" s="26" t="s">
        <v>18</v>
      </c>
      <c r="N370" s="26" t="s">
        <v>19</v>
      </c>
      <c r="O370" s="26" t="s">
        <v>19</v>
      </c>
      <c r="P370" s="26">
        <v>102.313722</v>
      </c>
      <c r="Q370" s="26">
        <v>2.9020000000000001</v>
      </c>
      <c r="R370" s="26"/>
      <c r="S370" s="26"/>
    </row>
    <row r="371" spans="1:19" hidden="1" x14ac:dyDescent="0.25">
      <c r="A371" s="28">
        <v>2924096</v>
      </c>
      <c r="B371" s="15" t="s">
        <v>1462</v>
      </c>
      <c r="C371" s="19" t="s">
        <v>12</v>
      </c>
      <c r="D371" s="21" t="s">
        <v>1363</v>
      </c>
      <c r="E371" s="19" t="s">
        <v>1344</v>
      </c>
      <c r="F371" s="19" t="s">
        <v>1412</v>
      </c>
      <c r="G371" s="19" t="s">
        <v>1463</v>
      </c>
      <c r="H371" s="19" t="s">
        <v>1464</v>
      </c>
      <c r="I371" s="19"/>
      <c r="J371" s="19" t="s">
        <v>18</v>
      </c>
      <c r="K371" s="19" t="s">
        <v>18</v>
      </c>
      <c r="L371" s="19" t="s">
        <v>19</v>
      </c>
      <c r="M371" s="19" t="s">
        <v>18</v>
      </c>
      <c r="N371" s="19" t="s">
        <v>18</v>
      </c>
      <c r="O371" s="19" t="s">
        <v>19</v>
      </c>
      <c r="P371" s="19">
        <v>102.41888899999999</v>
      </c>
      <c r="Q371" s="19">
        <v>2.9375</v>
      </c>
      <c r="R371" s="19"/>
      <c r="S371" s="19" t="s">
        <v>41</v>
      </c>
    </row>
    <row r="372" spans="1:19" hidden="1" x14ac:dyDescent="0.25">
      <c r="A372" s="28">
        <v>2929001</v>
      </c>
      <c r="B372" s="15" t="s">
        <v>1465</v>
      </c>
      <c r="C372" s="19" t="s">
        <v>12</v>
      </c>
      <c r="D372" s="21" t="s">
        <v>1363</v>
      </c>
      <c r="E372" s="19" t="s">
        <v>1425</v>
      </c>
      <c r="F372" s="19" t="s">
        <v>1466</v>
      </c>
      <c r="G372" s="19" t="s">
        <v>1425</v>
      </c>
      <c r="H372" s="19" t="s">
        <v>152</v>
      </c>
      <c r="I372" s="19"/>
      <c r="J372" s="19" t="s">
        <v>18</v>
      </c>
      <c r="K372" s="19" t="s">
        <v>18</v>
      </c>
      <c r="L372" s="19" t="s">
        <v>18</v>
      </c>
      <c r="M372" s="19" t="s">
        <v>19</v>
      </c>
      <c r="N372" s="19" t="s">
        <v>19</v>
      </c>
      <c r="O372" s="19" t="s">
        <v>19</v>
      </c>
      <c r="P372" s="19">
        <v>102.930556</v>
      </c>
      <c r="Q372" s="19">
        <v>2.983333</v>
      </c>
      <c r="R372" s="19"/>
      <c r="S372" s="19" t="s">
        <v>20</v>
      </c>
    </row>
    <row r="373" spans="1:19" hidden="1" x14ac:dyDescent="0.25">
      <c r="A373" s="28">
        <v>3010001</v>
      </c>
      <c r="B373" s="15" t="s">
        <v>107</v>
      </c>
      <c r="C373" s="19" t="s">
        <v>12</v>
      </c>
      <c r="D373" s="21" t="s">
        <v>13</v>
      </c>
      <c r="E373" s="19" t="s">
        <v>85</v>
      </c>
      <c r="F373" s="19" t="s">
        <v>108</v>
      </c>
      <c r="G373" s="19" t="s">
        <v>69</v>
      </c>
      <c r="H373" s="19"/>
      <c r="I373" s="19"/>
      <c r="J373" s="19" t="s">
        <v>18</v>
      </c>
      <c r="K373" s="19" t="s">
        <v>18</v>
      </c>
      <c r="L373" s="19" t="s">
        <v>19</v>
      </c>
      <c r="M373" s="19" t="s">
        <v>19</v>
      </c>
      <c r="N373" s="19" t="s">
        <v>18</v>
      </c>
      <c r="O373" s="19" t="s">
        <v>19</v>
      </c>
      <c r="P373" s="19">
        <v>101.53444399999999</v>
      </c>
      <c r="Q373" s="19">
        <v>3.1580560000000002</v>
      </c>
      <c r="R373" s="19"/>
      <c r="S373" s="19"/>
    </row>
    <row r="374" spans="1:19" hidden="1" x14ac:dyDescent="0.25">
      <c r="A374" s="28">
        <v>3013001</v>
      </c>
      <c r="B374" s="15" t="s">
        <v>109</v>
      </c>
      <c r="C374" s="19" t="s">
        <v>12</v>
      </c>
      <c r="D374" s="21" t="s">
        <v>13</v>
      </c>
      <c r="E374" s="19" t="s">
        <v>69</v>
      </c>
      <c r="F374" s="19" t="s">
        <v>70</v>
      </c>
      <c r="G374" s="19" t="s">
        <v>69</v>
      </c>
      <c r="H374" s="19"/>
      <c r="I374" s="19"/>
      <c r="J374" s="19" t="s">
        <v>18</v>
      </c>
      <c r="K374" s="19" t="s">
        <v>18</v>
      </c>
      <c r="L374" s="19" t="s">
        <v>19</v>
      </c>
      <c r="M374" s="19" t="s">
        <v>19</v>
      </c>
      <c r="N374" s="19" t="s">
        <v>18</v>
      </c>
      <c r="O374" s="19" t="s">
        <v>19</v>
      </c>
      <c r="P374" s="19">
        <v>101.533056</v>
      </c>
      <c r="Q374" s="19">
        <v>3.130833</v>
      </c>
      <c r="R374" s="19"/>
      <c r="S374" s="19"/>
    </row>
    <row r="375" spans="1:19" hidden="1" x14ac:dyDescent="0.25">
      <c r="A375" s="28">
        <v>3013002</v>
      </c>
      <c r="B375" s="15" t="s">
        <v>110</v>
      </c>
      <c r="C375" s="19" t="s">
        <v>12</v>
      </c>
      <c r="D375" s="21" t="s">
        <v>13</v>
      </c>
      <c r="E375" s="19" t="s">
        <v>69</v>
      </c>
      <c r="F375" s="19" t="s">
        <v>111</v>
      </c>
      <c r="G375" s="19" t="s">
        <v>69</v>
      </c>
      <c r="H375" s="19"/>
      <c r="I375" s="19"/>
      <c r="J375" s="19" t="s">
        <v>18</v>
      </c>
      <c r="K375" s="19" t="s">
        <v>18</v>
      </c>
      <c r="L375" s="19" t="s">
        <v>19</v>
      </c>
      <c r="M375" s="19" t="s">
        <v>19</v>
      </c>
      <c r="N375" s="19" t="s">
        <v>18</v>
      </c>
      <c r="O375" s="19" t="s">
        <v>19</v>
      </c>
      <c r="P375" s="19">
        <v>101.36111099999999</v>
      </c>
      <c r="Q375" s="19">
        <v>3.141111</v>
      </c>
      <c r="R375" s="19"/>
      <c r="S375" s="19"/>
    </row>
    <row r="376" spans="1:19" hidden="1" x14ac:dyDescent="0.25">
      <c r="A376" s="28">
        <v>3013003</v>
      </c>
      <c r="B376" s="15" t="s">
        <v>112</v>
      </c>
      <c r="C376" s="19" t="s">
        <v>12</v>
      </c>
      <c r="D376" s="21" t="s">
        <v>13</v>
      </c>
      <c r="E376" s="19" t="s">
        <v>69</v>
      </c>
      <c r="F376" s="19" t="s">
        <v>78</v>
      </c>
      <c r="G376" s="19" t="s">
        <v>78</v>
      </c>
      <c r="H376" s="19"/>
      <c r="I376" s="19"/>
      <c r="J376" s="19" t="s">
        <v>19</v>
      </c>
      <c r="K376" s="19" t="s">
        <v>18</v>
      </c>
      <c r="L376" s="19" t="s">
        <v>19</v>
      </c>
      <c r="M376" s="19" t="s">
        <v>18</v>
      </c>
      <c r="N376" s="19" t="s">
        <v>19</v>
      </c>
      <c r="O376" s="19" t="s">
        <v>19</v>
      </c>
      <c r="P376" s="19">
        <v>101.37777800000001</v>
      </c>
      <c r="Q376" s="19">
        <v>3.017611</v>
      </c>
      <c r="R376" s="19"/>
      <c r="S376" s="19"/>
    </row>
    <row r="377" spans="1:19" hidden="1" x14ac:dyDescent="0.25">
      <c r="A377" s="28">
        <v>3014080</v>
      </c>
      <c r="B377" s="15" t="s">
        <v>113</v>
      </c>
      <c r="C377" s="19" t="s">
        <v>12</v>
      </c>
      <c r="D377" s="21" t="s">
        <v>13</v>
      </c>
      <c r="E377" s="19" t="s">
        <v>69</v>
      </c>
      <c r="F377" s="19" t="s">
        <v>78</v>
      </c>
      <c r="G377" s="19" t="s">
        <v>78</v>
      </c>
      <c r="H377" s="19"/>
      <c r="I377" s="19"/>
      <c r="J377" s="19" t="s">
        <v>19</v>
      </c>
      <c r="K377" s="19" t="s">
        <v>18</v>
      </c>
      <c r="L377" s="19" t="s">
        <v>19</v>
      </c>
      <c r="M377" s="19" t="s">
        <v>18</v>
      </c>
      <c r="N377" s="19" t="s">
        <v>19</v>
      </c>
      <c r="O377" s="19" t="s">
        <v>19</v>
      </c>
      <c r="P377" s="19">
        <v>101.444806</v>
      </c>
      <c r="Q377" s="19">
        <v>3.0480559999999999</v>
      </c>
      <c r="R377" s="19"/>
      <c r="S377" s="19"/>
    </row>
    <row r="378" spans="1:19" hidden="1" x14ac:dyDescent="0.25">
      <c r="A378" s="28">
        <v>3014081</v>
      </c>
      <c r="B378" s="15" t="s">
        <v>114</v>
      </c>
      <c r="C378" s="19" t="s">
        <v>12</v>
      </c>
      <c r="D378" s="21" t="s">
        <v>13</v>
      </c>
      <c r="E378" s="19" t="s">
        <v>69</v>
      </c>
      <c r="F378" s="19" t="s">
        <v>78</v>
      </c>
      <c r="G378" s="19" t="s">
        <v>69</v>
      </c>
      <c r="H378" s="19" t="s">
        <v>115</v>
      </c>
      <c r="I378" s="19" t="s">
        <v>116</v>
      </c>
      <c r="J378" s="19" t="s">
        <v>19</v>
      </c>
      <c r="K378" s="19" t="s">
        <v>19</v>
      </c>
      <c r="L378" s="19" t="s">
        <v>18</v>
      </c>
      <c r="M378" s="19" t="s">
        <v>19</v>
      </c>
      <c r="N378" s="19" t="s">
        <v>19</v>
      </c>
      <c r="O378" s="19" t="s">
        <v>19</v>
      </c>
      <c r="P378" s="19">
        <v>101.490278</v>
      </c>
      <c r="Q378" s="19">
        <v>3.0638890000000001</v>
      </c>
      <c r="R378" s="19"/>
      <c r="S378" s="19" t="s">
        <v>20</v>
      </c>
    </row>
    <row r="379" spans="1:19" hidden="1" x14ac:dyDescent="0.25">
      <c r="A379" s="28">
        <v>3014083</v>
      </c>
      <c r="B379" s="15" t="s">
        <v>117</v>
      </c>
      <c r="C379" s="19" t="s">
        <v>12</v>
      </c>
      <c r="D379" s="21" t="s">
        <v>13</v>
      </c>
      <c r="E379" s="19" t="s">
        <v>69</v>
      </c>
      <c r="F379" s="19" t="s">
        <v>78</v>
      </c>
      <c r="G379" s="19" t="s">
        <v>69</v>
      </c>
      <c r="H379" s="19" t="s">
        <v>46</v>
      </c>
      <c r="I379" s="19" t="s">
        <v>118</v>
      </c>
      <c r="J379" s="19" t="s">
        <v>19</v>
      </c>
      <c r="K379" s="19" t="s">
        <v>19</v>
      </c>
      <c r="L379" s="19" t="s">
        <v>18</v>
      </c>
      <c r="M379" s="19" t="s">
        <v>19</v>
      </c>
      <c r="N379" s="19" t="s">
        <v>19</v>
      </c>
      <c r="O379" s="19" t="s">
        <v>19</v>
      </c>
      <c r="P379" s="19">
        <v>101.444444</v>
      </c>
      <c r="Q379" s="19">
        <v>2.9963890000000002</v>
      </c>
      <c r="R379" s="19"/>
      <c r="S379" s="19" t="s">
        <v>20</v>
      </c>
    </row>
    <row r="380" spans="1:19" hidden="1" x14ac:dyDescent="0.25">
      <c r="A380" s="28">
        <v>3014084</v>
      </c>
      <c r="B380" s="15" t="s">
        <v>119</v>
      </c>
      <c r="C380" s="19" t="s">
        <v>12</v>
      </c>
      <c r="D380" s="21" t="s">
        <v>13</v>
      </c>
      <c r="E380" s="19" t="s">
        <v>69</v>
      </c>
      <c r="F380" s="19" t="s">
        <v>78</v>
      </c>
      <c r="G380" s="19" t="s">
        <v>69</v>
      </c>
      <c r="H380" s="19" t="s">
        <v>120</v>
      </c>
      <c r="I380" s="19"/>
      <c r="J380" s="19" t="s">
        <v>18</v>
      </c>
      <c r="K380" s="19" t="s">
        <v>18</v>
      </c>
      <c r="L380" s="19" t="s">
        <v>19</v>
      </c>
      <c r="M380" s="19" t="s">
        <v>19</v>
      </c>
      <c r="N380" s="19" t="s">
        <v>18</v>
      </c>
      <c r="O380" s="19" t="s">
        <v>19</v>
      </c>
      <c r="P380" s="19">
        <v>101.87777800000001</v>
      </c>
      <c r="Q380" s="19">
        <v>3.0388890000000002</v>
      </c>
      <c r="R380" s="19"/>
      <c r="S380" s="19" t="s">
        <v>41</v>
      </c>
    </row>
    <row r="381" spans="1:19" hidden="1" x14ac:dyDescent="0.25">
      <c r="A381" s="28">
        <v>3014089</v>
      </c>
      <c r="B381" s="15" t="s">
        <v>121</v>
      </c>
      <c r="C381" s="19" t="s">
        <v>12</v>
      </c>
      <c r="D381" s="21" t="s">
        <v>13</v>
      </c>
      <c r="E381" s="19" t="s">
        <v>69</v>
      </c>
      <c r="F381" s="19" t="s">
        <v>78</v>
      </c>
      <c r="G381" s="19" t="s">
        <v>69</v>
      </c>
      <c r="H381" s="19" t="s">
        <v>122</v>
      </c>
      <c r="I381" s="19"/>
      <c r="J381" s="19" t="s">
        <v>18</v>
      </c>
      <c r="K381" s="19" t="s">
        <v>18</v>
      </c>
      <c r="L381" s="19" t="s">
        <v>18</v>
      </c>
      <c r="M381" s="19" t="s">
        <v>19</v>
      </c>
      <c r="N381" s="19" t="s">
        <v>18</v>
      </c>
      <c r="O381" s="19" t="s">
        <v>19</v>
      </c>
      <c r="P381" s="19">
        <v>101.438889</v>
      </c>
      <c r="Q381" s="19">
        <v>3.0902780000000001</v>
      </c>
      <c r="R381" s="19"/>
      <c r="S381" s="19" t="s">
        <v>20</v>
      </c>
    </row>
    <row r="382" spans="1:19" hidden="1" x14ac:dyDescent="0.25">
      <c r="A382" s="28">
        <v>3014090</v>
      </c>
      <c r="B382" s="15" t="s">
        <v>123</v>
      </c>
      <c r="C382" s="19" t="s">
        <v>12</v>
      </c>
      <c r="D382" s="21" t="s">
        <v>13</v>
      </c>
      <c r="E382" s="19" t="s">
        <v>69</v>
      </c>
      <c r="F382" s="19" t="s">
        <v>78</v>
      </c>
      <c r="G382" s="19" t="s">
        <v>69</v>
      </c>
      <c r="H382" s="19" t="s">
        <v>124</v>
      </c>
      <c r="I382" s="19" t="s">
        <v>125</v>
      </c>
      <c r="J382" s="19" t="s">
        <v>19</v>
      </c>
      <c r="K382" s="19" t="s">
        <v>19</v>
      </c>
      <c r="L382" s="19" t="s">
        <v>19</v>
      </c>
      <c r="M382" s="19" t="s">
        <v>19</v>
      </c>
      <c r="N382" s="19" t="s">
        <v>19</v>
      </c>
      <c r="O382" s="19" t="s">
        <v>19</v>
      </c>
      <c r="P382" s="19">
        <v>101.409722</v>
      </c>
      <c r="Q382" s="19">
        <v>3.0138889999999998</v>
      </c>
      <c r="R382" s="19"/>
      <c r="S382" s="19" t="s">
        <v>41</v>
      </c>
    </row>
    <row r="383" spans="1:19" hidden="1" x14ac:dyDescent="0.25">
      <c r="A383" s="28">
        <v>3014091</v>
      </c>
      <c r="B383" s="15" t="s">
        <v>126</v>
      </c>
      <c r="C383" s="19" t="s">
        <v>12</v>
      </c>
      <c r="D383" s="21" t="s">
        <v>13</v>
      </c>
      <c r="E383" s="19" t="s">
        <v>69</v>
      </c>
      <c r="F383" s="19" t="s">
        <v>78</v>
      </c>
      <c r="G383" s="19" t="s">
        <v>69</v>
      </c>
      <c r="H383" s="19" t="s">
        <v>127</v>
      </c>
      <c r="I383" s="19"/>
      <c r="J383" s="19" t="s">
        <v>18</v>
      </c>
      <c r="K383" s="19" t="s">
        <v>18</v>
      </c>
      <c r="L383" s="19" t="s">
        <v>19</v>
      </c>
      <c r="M383" s="19" t="s">
        <v>19</v>
      </c>
      <c r="N383" s="19" t="s">
        <v>18</v>
      </c>
      <c r="O383" s="19" t="s">
        <v>19</v>
      </c>
      <c r="P383" s="19">
        <v>101.44833300000001</v>
      </c>
      <c r="Q383" s="19">
        <v>3.0477780000000001</v>
      </c>
      <c r="R383" s="19"/>
      <c r="S383" s="19"/>
    </row>
    <row r="384" spans="1:19" hidden="1" x14ac:dyDescent="0.25">
      <c r="A384" s="28">
        <v>3014092</v>
      </c>
      <c r="B384" s="15" t="s">
        <v>128</v>
      </c>
      <c r="C384" s="19" t="s">
        <v>12</v>
      </c>
      <c r="D384" s="21" t="s">
        <v>13</v>
      </c>
      <c r="E384" s="19" t="s">
        <v>69</v>
      </c>
      <c r="F384" s="19" t="s">
        <v>78</v>
      </c>
      <c r="G384" s="19" t="s">
        <v>69</v>
      </c>
      <c r="H384" s="19"/>
      <c r="I384" s="19"/>
      <c r="J384" s="19" t="s">
        <v>18</v>
      </c>
      <c r="K384" s="19" t="s">
        <v>18</v>
      </c>
      <c r="L384" s="19" t="s">
        <v>19</v>
      </c>
      <c r="M384" s="19" t="s">
        <v>19</v>
      </c>
      <c r="N384" s="19" t="s">
        <v>18</v>
      </c>
      <c r="O384" s="19" t="s">
        <v>19</v>
      </c>
      <c r="P384" s="19">
        <v>101.412778</v>
      </c>
      <c r="Q384" s="19">
        <v>2.9905560000000002</v>
      </c>
      <c r="R384" s="19"/>
      <c r="S384" s="19"/>
    </row>
    <row r="385" spans="1:19" hidden="1" x14ac:dyDescent="0.25">
      <c r="A385" s="28">
        <v>3014093</v>
      </c>
      <c r="B385" s="15" t="s">
        <v>129</v>
      </c>
      <c r="C385" s="19" t="s">
        <v>12</v>
      </c>
      <c r="D385" s="21" t="s">
        <v>13</v>
      </c>
      <c r="E385" s="19" t="s">
        <v>69</v>
      </c>
      <c r="F385" s="19" t="s">
        <v>78</v>
      </c>
      <c r="G385" s="19" t="s">
        <v>69</v>
      </c>
      <c r="H385" s="19"/>
      <c r="I385" s="19"/>
      <c r="J385" s="19" t="s">
        <v>18</v>
      </c>
      <c r="K385" s="19" t="s">
        <v>18</v>
      </c>
      <c r="L385" s="19" t="s">
        <v>19</v>
      </c>
      <c r="M385" s="19" t="s">
        <v>19</v>
      </c>
      <c r="N385" s="19" t="s">
        <v>18</v>
      </c>
      <c r="O385" s="19" t="s">
        <v>19</v>
      </c>
      <c r="P385" s="19">
        <v>101.429722</v>
      </c>
      <c r="Q385" s="19">
        <v>3.0602779999999998</v>
      </c>
      <c r="R385" s="19"/>
      <c r="S385" s="19"/>
    </row>
    <row r="386" spans="1:19" hidden="1" x14ac:dyDescent="0.25">
      <c r="A386" s="28">
        <v>3014094</v>
      </c>
      <c r="B386" s="15" t="s">
        <v>130</v>
      </c>
      <c r="C386" s="19" t="s">
        <v>12</v>
      </c>
      <c r="D386" s="21" t="s">
        <v>13</v>
      </c>
      <c r="E386" s="19" t="s">
        <v>69</v>
      </c>
      <c r="F386" s="19" t="s">
        <v>131</v>
      </c>
      <c r="G386" s="19" t="s">
        <v>69</v>
      </c>
      <c r="H386" s="19"/>
      <c r="I386" s="19"/>
      <c r="J386" s="19" t="s">
        <v>18</v>
      </c>
      <c r="K386" s="19" t="s">
        <v>18</v>
      </c>
      <c r="L386" s="19" t="s">
        <v>19</v>
      </c>
      <c r="M386" s="19" t="s">
        <v>19</v>
      </c>
      <c r="N386" s="19" t="s">
        <v>18</v>
      </c>
      <c r="O386" s="19" t="s">
        <v>19</v>
      </c>
      <c r="P386" s="19">
        <v>101.504722</v>
      </c>
      <c r="Q386" s="19">
        <v>3.0216669999999999</v>
      </c>
      <c r="R386" s="19"/>
      <c r="S386" s="19"/>
    </row>
    <row r="387" spans="1:19" hidden="1" x14ac:dyDescent="0.25">
      <c r="A387" s="28">
        <v>3015001</v>
      </c>
      <c r="B387" s="15" t="s">
        <v>132</v>
      </c>
      <c r="C387" s="19" t="s">
        <v>12</v>
      </c>
      <c r="D387" s="21" t="s">
        <v>13</v>
      </c>
      <c r="E387" s="19" t="s">
        <v>85</v>
      </c>
      <c r="F387" s="19" t="s">
        <v>78</v>
      </c>
      <c r="G387" s="19" t="s">
        <v>69</v>
      </c>
      <c r="H387" s="19" t="s">
        <v>133</v>
      </c>
      <c r="I387" s="19"/>
      <c r="J387" s="19" t="s">
        <v>19</v>
      </c>
      <c r="K387" s="19" t="s">
        <v>19</v>
      </c>
      <c r="L387" s="19" t="s">
        <v>19</v>
      </c>
      <c r="M387" s="19" t="s">
        <v>19</v>
      </c>
      <c r="N387" s="19" t="s">
        <v>18</v>
      </c>
      <c r="O387" s="19" t="s">
        <v>19</v>
      </c>
      <c r="P387" s="19">
        <v>101.597222</v>
      </c>
      <c r="Q387" s="19">
        <v>3.019444</v>
      </c>
      <c r="R387" s="19"/>
      <c r="S387" s="19" t="s">
        <v>41</v>
      </c>
    </row>
    <row r="388" spans="1:19" hidden="1" x14ac:dyDescent="0.25">
      <c r="A388" s="28">
        <v>3015001</v>
      </c>
      <c r="B388" s="15" t="s">
        <v>134</v>
      </c>
      <c r="C388" s="19" t="s">
        <v>12</v>
      </c>
      <c r="D388" s="21" t="s">
        <v>13</v>
      </c>
      <c r="E388" s="19" t="s">
        <v>85</v>
      </c>
      <c r="F388" s="19" t="s">
        <v>78</v>
      </c>
      <c r="G388" s="19" t="s">
        <v>78</v>
      </c>
      <c r="H388" s="19"/>
      <c r="I388" s="19"/>
      <c r="J388" s="19" t="s">
        <v>19</v>
      </c>
      <c r="K388" s="19" t="s">
        <v>18</v>
      </c>
      <c r="L388" s="19" t="s">
        <v>19</v>
      </c>
      <c r="M388" s="19" t="s">
        <v>18</v>
      </c>
      <c r="N388" s="19" t="s">
        <v>19</v>
      </c>
      <c r="O388" s="19" t="s">
        <v>19</v>
      </c>
      <c r="P388" s="19">
        <v>101.59741699999999</v>
      </c>
      <c r="Q388" s="19">
        <v>3.0195280000000002</v>
      </c>
      <c r="R388" s="19"/>
      <c r="S388" s="19"/>
    </row>
    <row r="389" spans="1:19" hidden="1" x14ac:dyDescent="0.25">
      <c r="A389" s="28">
        <v>3015074</v>
      </c>
      <c r="B389" s="15" t="s">
        <v>135</v>
      </c>
      <c r="C389" s="19" t="s">
        <v>12</v>
      </c>
      <c r="D389" s="21" t="s">
        <v>13</v>
      </c>
      <c r="E389" s="19" t="s">
        <v>69</v>
      </c>
      <c r="F389" s="19" t="s">
        <v>136</v>
      </c>
      <c r="G389" s="19" t="s">
        <v>69</v>
      </c>
      <c r="H389" s="19" t="s">
        <v>46</v>
      </c>
      <c r="I389" s="19" t="s">
        <v>137</v>
      </c>
      <c r="J389" s="19" t="s">
        <v>19</v>
      </c>
      <c r="K389" s="19" t="s">
        <v>19</v>
      </c>
      <c r="L389" s="19" t="s">
        <v>18</v>
      </c>
      <c r="M389" s="19" t="s">
        <v>19</v>
      </c>
      <c r="N389" s="19" t="s">
        <v>19</v>
      </c>
      <c r="O389" s="19" t="s">
        <v>19</v>
      </c>
      <c r="P389" s="19">
        <v>101.591667</v>
      </c>
      <c r="Q389" s="19">
        <v>3.0805560000000001</v>
      </c>
      <c r="R389" s="19"/>
      <c r="S389" s="19" t="s">
        <v>20</v>
      </c>
    </row>
    <row r="390" spans="1:19" hidden="1" x14ac:dyDescent="0.25">
      <c r="A390" s="28">
        <v>3015078</v>
      </c>
      <c r="B390" s="15" t="s">
        <v>138</v>
      </c>
      <c r="C390" s="19" t="s">
        <v>12</v>
      </c>
      <c r="D390" s="21" t="s">
        <v>13</v>
      </c>
      <c r="E390" s="19" t="s">
        <v>69</v>
      </c>
      <c r="F390" s="19"/>
      <c r="G390" s="19" t="s">
        <v>69</v>
      </c>
      <c r="H390" s="19" t="s">
        <v>139</v>
      </c>
      <c r="I390" s="19"/>
      <c r="J390" s="19" t="s">
        <v>19</v>
      </c>
      <c r="K390" s="19" t="s">
        <v>19</v>
      </c>
      <c r="L390" s="19" t="s">
        <v>18</v>
      </c>
      <c r="M390" s="19" t="s">
        <v>19</v>
      </c>
      <c r="N390" s="19" t="s">
        <v>19</v>
      </c>
      <c r="O390" s="19" t="s">
        <v>19</v>
      </c>
      <c r="P390" s="19">
        <v>101.541667</v>
      </c>
      <c r="Q390" s="19">
        <v>3</v>
      </c>
      <c r="R390" s="19"/>
      <c r="S390" s="19" t="s">
        <v>20</v>
      </c>
    </row>
    <row r="391" spans="1:19" hidden="1" x14ac:dyDescent="0.25">
      <c r="A391" s="28">
        <v>3015080</v>
      </c>
      <c r="B391" s="15" t="s">
        <v>140</v>
      </c>
      <c r="C391" s="19" t="s">
        <v>12</v>
      </c>
      <c r="D391" s="21" t="s">
        <v>13</v>
      </c>
      <c r="E391" s="19" t="s">
        <v>69</v>
      </c>
      <c r="F391" s="19" t="s">
        <v>141</v>
      </c>
      <c r="G391" s="19" t="s">
        <v>69</v>
      </c>
      <c r="H391" s="19" t="s">
        <v>142</v>
      </c>
      <c r="I391" s="19" t="s">
        <v>143</v>
      </c>
      <c r="J391" s="19" t="s">
        <v>19</v>
      </c>
      <c r="K391" s="19" t="s">
        <v>19</v>
      </c>
      <c r="L391" s="19" t="s">
        <v>18</v>
      </c>
      <c r="M391" s="19" t="s">
        <v>19</v>
      </c>
      <c r="N391" s="19" t="s">
        <v>19</v>
      </c>
      <c r="O391" s="19" t="s">
        <v>19</v>
      </c>
      <c r="P391" s="19">
        <v>101.540278</v>
      </c>
      <c r="Q391" s="19">
        <v>3.0583330000000002</v>
      </c>
      <c r="R391" s="19"/>
      <c r="S391" s="19" t="s">
        <v>20</v>
      </c>
    </row>
    <row r="392" spans="1:19" hidden="1" x14ac:dyDescent="0.25">
      <c r="A392" s="28">
        <v>3015082</v>
      </c>
      <c r="B392" s="15" t="s">
        <v>144</v>
      </c>
      <c r="C392" s="19" t="s">
        <v>12</v>
      </c>
      <c r="D392" s="21" t="s">
        <v>13</v>
      </c>
      <c r="E392" s="19" t="s">
        <v>69</v>
      </c>
      <c r="F392" s="19"/>
      <c r="G392" s="19" t="s">
        <v>69</v>
      </c>
      <c r="H392" s="19" t="s">
        <v>145</v>
      </c>
      <c r="I392" s="19" t="s">
        <v>146</v>
      </c>
      <c r="J392" s="19" t="s">
        <v>19</v>
      </c>
      <c r="K392" s="19" t="s">
        <v>19</v>
      </c>
      <c r="L392" s="19" t="s">
        <v>18</v>
      </c>
      <c r="M392" s="19" t="s">
        <v>19</v>
      </c>
      <c r="N392" s="19" t="s">
        <v>19</v>
      </c>
      <c r="O392" s="19" t="s">
        <v>19</v>
      </c>
      <c r="P392" s="19">
        <v>101.501389</v>
      </c>
      <c r="Q392" s="19">
        <v>3.0138889999999998</v>
      </c>
      <c r="R392" s="19"/>
      <c r="S392" s="19" t="s">
        <v>20</v>
      </c>
    </row>
    <row r="393" spans="1:19" hidden="1" x14ac:dyDescent="0.25">
      <c r="A393" s="28">
        <v>3015083</v>
      </c>
      <c r="B393" s="15" t="s">
        <v>147</v>
      </c>
      <c r="C393" s="19" t="s">
        <v>12</v>
      </c>
      <c r="D393" s="21" t="s">
        <v>13</v>
      </c>
      <c r="E393" s="19" t="s">
        <v>85</v>
      </c>
      <c r="F393" s="19" t="s">
        <v>108</v>
      </c>
      <c r="G393" s="19" t="s">
        <v>78</v>
      </c>
      <c r="H393" s="19"/>
      <c r="I393" s="19"/>
      <c r="J393" s="19" t="s">
        <v>19</v>
      </c>
      <c r="K393" s="19" t="s">
        <v>18</v>
      </c>
      <c r="L393" s="19" t="s">
        <v>19</v>
      </c>
      <c r="M393" s="19" t="s">
        <v>18</v>
      </c>
      <c r="N393" s="19" t="s">
        <v>19</v>
      </c>
      <c r="O393" s="19" t="s">
        <v>19</v>
      </c>
      <c r="P393" s="19">
        <v>101.55416700000001</v>
      </c>
      <c r="Q393" s="19">
        <v>3.0969440000000001</v>
      </c>
      <c r="R393" s="19"/>
      <c r="S393" s="19"/>
    </row>
    <row r="394" spans="1:19" hidden="1" x14ac:dyDescent="0.25">
      <c r="A394" s="28">
        <v>3015084</v>
      </c>
      <c r="B394" s="15" t="s">
        <v>148</v>
      </c>
      <c r="C394" s="19" t="s">
        <v>12</v>
      </c>
      <c r="D394" s="21" t="s">
        <v>13</v>
      </c>
      <c r="E394" s="19" t="s">
        <v>85</v>
      </c>
      <c r="F394" s="19" t="s">
        <v>78</v>
      </c>
      <c r="G394" s="19" t="s">
        <v>78</v>
      </c>
      <c r="H394" s="19"/>
      <c r="I394" s="19"/>
      <c r="J394" s="19" t="s">
        <v>19</v>
      </c>
      <c r="K394" s="19" t="s">
        <v>18</v>
      </c>
      <c r="L394" s="19" t="s">
        <v>19</v>
      </c>
      <c r="M394" s="19" t="s">
        <v>18</v>
      </c>
      <c r="N394" s="19" t="s">
        <v>19</v>
      </c>
      <c r="O394" s="19" t="s">
        <v>19</v>
      </c>
      <c r="P394" s="19">
        <v>101.53449999999999</v>
      </c>
      <c r="Q394" s="19">
        <v>3.037722</v>
      </c>
      <c r="R394" s="19"/>
      <c r="S394" s="19"/>
    </row>
    <row r="395" spans="1:19" hidden="1" x14ac:dyDescent="0.25">
      <c r="A395" s="28">
        <v>3015085</v>
      </c>
      <c r="B395" s="15" t="s">
        <v>149</v>
      </c>
      <c r="C395" s="19" t="s">
        <v>12</v>
      </c>
      <c r="D395" s="21" t="s">
        <v>13</v>
      </c>
      <c r="E395" s="19" t="s">
        <v>69</v>
      </c>
      <c r="F395" s="19" t="s">
        <v>150</v>
      </c>
      <c r="G395" s="19" t="s">
        <v>69</v>
      </c>
      <c r="H395" s="19"/>
      <c r="I395" s="19"/>
      <c r="J395" s="19" t="s">
        <v>18</v>
      </c>
      <c r="K395" s="19" t="s">
        <v>18</v>
      </c>
      <c r="L395" s="19" t="s">
        <v>19</v>
      </c>
      <c r="M395" s="19" t="s">
        <v>19</v>
      </c>
      <c r="N395" s="19" t="s">
        <v>18</v>
      </c>
      <c r="O395" s="19" t="s">
        <v>19</v>
      </c>
      <c r="P395" s="19">
        <v>101.516389</v>
      </c>
      <c r="Q395" s="19">
        <v>3.0913889999999999</v>
      </c>
      <c r="R395" s="19"/>
      <c r="S395" s="19"/>
    </row>
    <row r="396" spans="1:19" hidden="1" x14ac:dyDescent="0.25">
      <c r="A396" s="28">
        <v>3015087</v>
      </c>
      <c r="B396" s="15" t="s">
        <v>151</v>
      </c>
      <c r="C396" s="19" t="s">
        <v>12</v>
      </c>
      <c r="D396" s="21" t="s">
        <v>13</v>
      </c>
      <c r="E396" s="19" t="s">
        <v>85</v>
      </c>
      <c r="F396" s="19" t="s">
        <v>108</v>
      </c>
      <c r="G396" s="19" t="s">
        <v>78</v>
      </c>
      <c r="H396" s="19"/>
      <c r="I396" s="19"/>
      <c r="J396" s="19" t="s">
        <v>19</v>
      </c>
      <c r="K396" s="19" t="s">
        <v>18</v>
      </c>
      <c r="L396" s="19" t="s">
        <v>19</v>
      </c>
      <c r="M396" s="19" t="s">
        <v>18</v>
      </c>
      <c r="N396" s="19" t="s">
        <v>19</v>
      </c>
      <c r="O396" s="19" t="s">
        <v>19</v>
      </c>
      <c r="P396" s="19">
        <v>101.553889</v>
      </c>
      <c r="Q396" s="19">
        <v>3.0756109999999999</v>
      </c>
      <c r="R396" s="19"/>
      <c r="S396" s="19"/>
    </row>
    <row r="397" spans="1:19" hidden="1" x14ac:dyDescent="0.25">
      <c r="A397" s="28">
        <v>3016001</v>
      </c>
      <c r="B397" s="15" t="s">
        <v>134</v>
      </c>
      <c r="C397" s="19" t="s">
        <v>12</v>
      </c>
      <c r="D397" s="21" t="s">
        <v>13</v>
      </c>
      <c r="E397" s="19" t="s">
        <v>69</v>
      </c>
      <c r="F397" s="19"/>
      <c r="G397" s="19" t="s">
        <v>69</v>
      </c>
      <c r="H397" s="19" t="s">
        <v>152</v>
      </c>
      <c r="I397" s="19"/>
      <c r="J397" s="19" t="s">
        <v>19</v>
      </c>
      <c r="K397" s="19" t="s">
        <v>19</v>
      </c>
      <c r="L397" s="19" t="s">
        <v>19</v>
      </c>
      <c r="M397" s="19" t="s">
        <v>19</v>
      </c>
      <c r="N397" s="19" t="s">
        <v>18</v>
      </c>
      <c r="O397" s="19" t="s">
        <v>19</v>
      </c>
      <c r="P397" s="19">
        <v>101.601389</v>
      </c>
      <c r="Q397" s="19">
        <v>3.019444</v>
      </c>
      <c r="R397" s="19"/>
      <c r="S397" s="19" t="s">
        <v>41</v>
      </c>
    </row>
    <row r="398" spans="1:19" hidden="1" x14ac:dyDescent="0.25">
      <c r="A398" s="29">
        <v>3016002</v>
      </c>
      <c r="B398" s="25" t="s">
        <v>1180</v>
      </c>
      <c r="C398" s="26" t="s">
        <v>12</v>
      </c>
      <c r="D398" s="24" t="s">
        <v>157</v>
      </c>
      <c r="E398" s="26" t="s">
        <v>157</v>
      </c>
      <c r="F398" s="26" t="s">
        <v>78</v>
      </c>
      <c r="G398" s="26" t="s">
        <v>78</v>
      </c>
      <c r="H398" s="26"/>
      <c r="I398" s="26"/>
      <c r="J398" s="26" t="s">
        <v>19</v>
      </c>
      <c r="K398" s="26" t="s">
        <v>18</v>
      </c>
      <c r="L398" s="26" t="s">
        <v>19</v>
      </c>
      <c r="M398" s="26" t="s">
        <v>18</v>
      </c>
      <c r="N398" s="26" t="s">
        <v>19</v>
      </c>
      <c r="O398" s="26" t="s">
        <v>19</v>
      </c>
      <c r="P398" s="26">
        <v>101.665194</v>
      </c>
      <c r="Q398" s="26">
        <v>3.0809169999999999</v>
      </c>
      <c r="R398" s="26"/>
      <c r="S398" s="26"/>
    </row>
    <row r="399" spans="1:19" hidden="1" x14ac:dyDescent="0.25">
      <c r="A399" s="28">
        <v>3016075</v>
      </c>
      <c r="B399" s="15" t="s">
        <v>153</v>
      </c>
      <c r="C399" s="19" t="s">
        <v>12</v>
      </c>
      <c r="D399" s="21" t="s">
        <v>13</v>
      </c>
      <c r="E399" s="19" t="s">
        <v>69</v>
      </c>
      <c r="F399" s="19"/>
      <c r="G399" s="19" t="s">
        <v>69</v>
      </c>
      <c r="H399" s="19" t="s">
        <v>154</v>
      </c>
      <c r="I399" s="19" t="s">
        <v>155</v>
      </c>
      <c r="J399" s="19" t="s">
        <v>19</v>
      </c>
      <c r="K399" s="19" t="s">
        <v>19</v>
      </c>
      <c r="L399" s="19" t="s">
        <v>18</v>
      </c>
      <c r="M399" s="19" t="s">
        <v>19</v>
      </c>
      <c r="N399" s="19" t="s">
        <v>19</v>
      </c>
      <c r="O399" s="19" t="s">
        <v>19</v>
      </c>
      <c r="P399" s="19">
        <v>101.66249999999999</v>
      </c>
      <c r="Q399" s="19">
        <v>3.0583330000000002</v>
      </c>
      <c r="R399" s="19"/>
      <c r="S399" s="19" t="s">
        <v>20</v>
      </c>
    </row>
    <row r="400" spans="1:19" hidden="1" x14ac:dyDescent="0.25">
      <c r="A400" s="28">
        <v>3016076</v>
      </c>
      <c r="B400" s="15" t="s">
        <v>156</v>
      </c>
      <c r="C400" s="19" t="s">
        <v>12</v>
      </c>
      <c r="D400" s="21" t="s">
        <v>13</v>
      </c>
      <c r="E400" s="19" t="s">
        <v>157</v>
      </c>
      <c r="F400" s="19"/>
      <c r="G400" s="19" t="s">
        <v>69</v>
      </c>
      <c r="H400" s="19" t="s">
        <v>46</v>
      </c>
      <c r="I400" s="19" t="s">
        <v>158</v>
      </c>
      <c r="J400" s="19" t="s">
        <v>19</v>
      </c>
      <c r="K400" s="19" t="s">
        <v>19</v>
      </c>
      <c r="L400" s="19" t="s">
        <v>18</v>
      </c>
      <c r="M400" s="19" t="s">
        <v>19</v>
      </c>
      <c r="N400" s="19" t="s">
        <v>19</v>
      </c>
      <c r="O400" s="19" t="s">
        <v>19</v>
      </c>
      <c r="P400" s="19">
        <v>101.65</v>
      </c>
      <c r="Q400" s="19">
        <v>3.0513889999999999</v>
      </c>
      <c r="R400" s="19"/>
      <c r="S400" s="19" t="s">
        <v>20</v>
      </c>
    </row>
    <row r="401" spans="1:19" hidden="1" x14ac:dyDescent="0.25">
      <c r="A401" s="28">
        <v>3016077</v>
      </c>
      <c r="B401" s="15" t="s">
        <v>159</v>
      </c>
      <c r="C401" s="19" t="s">
        <v>12</v>
      </c>
      <c r="D401" s="21" t="s">
        <v>13</v>
      </c>
      <c r="E401" s="19" t="s">
        <v>85</v>
      </c>
      <c r="F401" s="19" t="s">
        <v>160</v>
      </c>
      <c r="G401" s="19" t="s">
        <v>78</v>
      </c>
      <c r="H401" s="19"/>
      <c r="I401" s="19"/>
      <c r="J401" s="19" t="s">
        <v>19</v>
      </c>
      <c r="K401" s="19" t="s">
        <v>18</v>
      </c>
      <c r="L401" s="19" t="s">
        <v>19</v>
      </c>
      <c r="M401" s="19" t="s">
        <v>18</v>
      </c>
      <c r="N401" s="19" t="s">
        <v>19</v>
      </c>
      <c r="O401" s="19" t="s">
        <v>19</v>
      </c>
      <c r="P401" s="19">
        <v>101.634389</v>
      </c>
      <c r="Q401" s="19">
        <v>3.0965280000000002</v>
      </c>
      <c r="R401" s="19"/>
      <c r="S401" s="19"/>
    </row>
    <row r="402" spans="1:19" hidden="1" x14ac:dyDescent="0.25">
      <c r="A402" s="28">
        <v>3016080</v>
      </c>
      <c r="B402" s="15" t="s">
        <v>161</v>
      </c>
      <c r="C402" s="19" t="s">
        <v>12</v>
      </c>
      <c r="D402" s="21" t="s">
        <v>13</v>
      </c>
      <c r="E402" s="19" t="s">
        <v>85</v>
      </c>
      <c r="F402" s="19" t="s">
        <v>160</v>
      </c>
      <c r="G402" s="19" t="s">
        <v>78</v>
      </c>
      <c r="H402" s="19"/>
      <c r="I402" s="19"/>
      <c r="J402" s="19" t="s">
        <v>19</v>
      </c>
      <c r="K402" s="19" t="s">
        <v>18</v>
      </c>
      <c r="L402" s="19" t="s">
        <v>19</v>
      </c>
      <c r="M402" s="19" t="s">
        <v>18</v>
      </c>
      <c r="N402" s="19" t="s">
        <v>19</v>
      </c>
      <c r="O402" s="19" t="s">
        <v>19</v>
      </c>
      <c r="P402" s="19">
        <v>101.62138899999999</v>
      </c>
      <c r="Q402" s="19">
        <v>3.076444</v>
      </c>
      <c r="R402" s="19"/>
      <c r="S402" s="19"/>
    </row>
    <row r="403" spans="1:19" hidden="1" x14ac:dyDescent="0.25">
      <c r="A403" s="29">
        <v>3016102</v>
      </c>
      <c r="B403" s="25" t="s">
        <v>1181</v>
      </c>
      <c r="C403" s="26" t="s">
        <v>12</v>
      </c>
      <c r="D403" s="24" t="s">
        <v>157</v>
      </c>
      <c r="E403" s="26" t="s">
        <v>157</v>
      </c>
      <c r="F403" s="26"/>
      <c r="G403" s="26"/>
      <c r="H403" s="26"/>
      <c r="I403" s="26"/>
      <c r="J403" s="26" t="s">
        <v>19</v>
      </c>
      <c r="K403" s="26" t="s">
        <v>18</v>
      </c>
      <c r="L403" s="26" t="s">
        <v>19</v>
      </c>
      <c r="M403" s="26" t="s">
        <v>19</v>
      </c>
      <c r="N403" s="26" t="s">
        <v>18</v>
      </c>
      <c r="O403" s="26" t="s">
        <v>19</v>
      </c>
      <c r="P403" s="26">
        <v>101.698314</v>
      </c>
      <c r="Q403" s="26">
        <v>3.098414</v>
      </c>
      <c r="R403" s="26"/>
      <c r="S403" s="26"/>
    </row>
    <row r="404" spans="1:19" hidden="1" x14ac:dyDescent="0.25">
      <c r="A404" s="29">
        <v>3016103</v>
      </c>
      <c r="B404" s="25" t="s">
        <v>1182</v>
      </c>
      <c r="C404" s="26" t="s">
        <v>12</v>
      </c>
      <c r="D404" s="24" t="s">
        <v>157</v>
      </c>
      <c r="E404" s="26" t="s">
        <v>157</v>
      </c>
      <c r="F404" s="26"/>
      <c r="G404" s="26"/>
      <c r="H404" s="26"/>
      <c r="I404" s="26"/>
      <c r="J404" s="26" t="s">
        <v>19</v>
      </c>
      <c r="K404" s="26" t="s">
        <v>18</v>
      </c>
      <c r="L404" s="26" t="s">
        <v>19</v>
      </c>
      <c r="M404" s="26" t="s">
        <v>19</v>
      </c>
      <c r="N404" s="26" t="s">
        <v>18</v>
      </c>
      <c r="O404" s="26" t="s">
        <v>19</v>
      </c>
      <c r="P404" s="26">
        <v>101.676372</v>
      </c>
      <c r="Q404" s="26">
        <v>3.0963029999999998</v>
      </c>
      <c r="R404" s="26"/>
      <c r="S404" s="26"/>
    </row>
    <row r="405" spans="1:19" hidden="1" x14ac:dyDescent="0.25">
      <c r="A405" s="28">
        <v>3017104</v>
      </c>
      <c r="B405" s="15" t="s">
        <v>162</v>
      </c>
      <c r="C405" s="19" t="s">
        <v>12</v>
      </c>
      <c r="D405" s="21" t="s">
        <v>13</v>
      </c>
      <c r="E405" s="19" t="s">
        <v>51</v>
      </c>
      <c r="F405" s="19"/>
      <c r="G405" s="19" t="s">
        <v>26</v>
      </c>
      <c r="H405" s="19" t="s">
        <v>163</v>
      </c>
      <c r="I405" s="19" t="s">
        <v>137</v>
      </c>
      <c r="J405" s="19" t="s">
        <v>19</v>
      </c>
      <c r="K405" s="19" t="s">
        <v>19</v>
      </c>
      <c r="L405" s="19" t="s">
        <v>18</v>
      </c>
      <c r="M405" s="19" t="s">
        <v>19</v>
      </c>
      <c r="N405" s="19" t="s">
        <v>19</v>
      </c>
      <c r="O405" s="19" t="s">
        <v>19</v>
      </c>
      <c r="P405" s="19">
        <v>101.78749999999999</v>
      </c>
      <c r="Q405" s="19">
        <v>3.0972219999999999</v>
      </c>
      <c r="R405" s="19"/>
      <c r="S405" s="19" t="s">
        <v>164</v>
      </c>
    </row>
    <row r="406" spans="1:19" hidden="1" x14ac:dyDescent="0.25">
      <c r="A406" s="28">
        <v>3017105</v>
      </c>
      <c r="B406" s="15" t="s">
        <v>165</v>
      </c>
      <c r="C406" s="19" t="s">
        <v>12</v>
      </c>
      <c r="D406" s="21" t="s">
        <v>13</v>
      </c>
      <c r="E406" s="19" t="s">
        <v>51</v>
      </c>
      <c r="F406" s="19" t="s">
        <v>43</v>
      </c>
      <c r="G406" s="19" t="s">
        <v>26</v>
      </c>
      <c r="H406" s="19"/>
      <c r="I406" s="19"/>
      <c r="J406" s="19" t="s">
        <v>18</v>
      </c>
      <c r="K406" s="19" t="s">
        <v>18</v>
      </c>
      <c r="L406" s="19" t="s">
        <v>19</v>
      </c>
      <c r="M406" s="19" t="s">
        <v>19</v>
      </c>
      <c r="N406" s="19" t="s">
        <v>18</v>
      </c>
      <c r="O406" s="19" t="s">
        <v>19</v>
      </c>
      <c r="P406" s="19">
        <v>101.771944</v>
      </c>
      <c r="Q406" s="19">
        <v>3.0677780000000001</v>
      </c>
      <c r="R406" s="19"/>
      <c r="S406" s="19"/>
    </row>
    <row r="407" spans="1:19" hidden="1" x14ac:dyDescent="0.25">
      <c r="A407" s="28">
        <v>3017106</v>
      </c>
      <c r="B407" s="15" t="s">
        <v>166</v>
      </c>
      <c r="C407" s="19" t="s">
        <v>12</v>
      </c>
      <c r="D407" s="21" t="s">
        <v>13</v>
      </c>
      <c r="E407" s="19" t="s">
        <v>51</v>
      </c>
      <c r="F407" s="19" t="s">
        <v>43</v>
      </c>
      <c r="G407" s="19" t="s">
        <v>26</v>
      </c>
      <c r="H407" s="19"/>
      <c r="I407" s="19"/>
      <c r="J407" s="19" t="s">
        <v>18</v>
      </c>
      <c r="K407" s="19" t="s">
        <v>18</v>
      </c>
      <c r="L407" s="19" t="s">
        <v>19</v>
      </c>
      <c r="M407" s="19" t="s">
        <v>19</v>
      </c>
      <c r="N407" s="19" t="s">
        <v>18</v>
      </c>
      <c r="O407" s="19" t="s">
        <v>19</v>
      </c>
      <c r="P407" s="19">
        <v>101.7975</v>
      </c>
      <c r="Q407" s="19">
        <v>3.0994440000000001</v>
      </c>
      <c r="R407" s="19"/>
      <c r="S407" s="19"/>
    </row>
    <row r="408" spans="1:19" hidden="1" x14ac:dyDescent="0.25">
      <c r="A408" s="28">
        <v>3017107</v>
      </c>
      <c r="B408" s="15" t="s">
        <v>167</v>
      </c>
      <c r="C408" s="19" t="s">
        <v>12</v>
      </c>
      <c r="D408" s="21" t="s">
        <v>13</v>
      </c>
      <c r="E408" s="19" t="s">
        <v>85</v>
      </c>
      <c r="F408" s="19" t="s">
        <v>168</v>
      </c>
      <c r="G408" s="19" t="s">
        <v>78</v>
      </c>
      <c r="H408" s="19"/>
      <c r="I408" s="19"/>
      <c r="J408" s="19" t="s">
        <v>19</v>
      </c>
      <c r="K408" s="19" t="s">
        <v>18</v>
      </c>
      <c r="L408" s="19" t="s">
        <v>19</v>
      </c>
      <c r="M408" s="19" t="s">
        <v>18</v>
      </c>
      <c r="N408" s="19" t="s">
        <v>19</v>
      </c>
      <c r="O408" s="19" t="s">
        <v>19</v>
      </c>
      <c r="P408" s="19">
        <v>101.718667</v>
      </c>
      <c r="Q408" s="19">
        <v>3.0145</v>
      </c>
      <c r="R408" s="19"/>
      <c r="S408" s="19"/>
    </row>
    <row r="409" spans="1:19" hidden="1" x14ac:dyDescent="0.25">
      <c r="A409" s="28">
        <v>3017108</v>
      </c>
      <c r="B409" s="15" t="s">
        <v>169</v>
      </c>
      <c r="C409" s="19" t="s">
        <v>12</v>
      </c>
      <c r="D409" s="21" t="s">
        <v>13</v>
      </c>
      <c r="E409" s="19" t="s">
        <v>95</v>
      </c>
      <c r="F409" s="19" t="s">
        <v>170</v>
      </c>
      <c r="G409" s="19" t="s">
        <v>26</v>
      </c>
      <c r="H409" s="19"/>
      <c r="I409" s="19"/>
      <c r="J409" s="19" t="s">
        <v>18</v>
      </c>
      <c r="K409" s="19" t="s">
        <v>18</v>
      </c>
      <c r="L409" s="19" t="s">
        <v>19</v>
      </c>
      <c r="M409" s="19" t="s">
        <v>19</v>
      </c>
      <c r="N409" s="19" t="s">
        <v>18</v>
      </c>
      <c r="O409" s="19" t="s">
        <v>19</v>
      </c>
      <c r="P409" s="19">
        <v>101.763611</v>
      </c>
      <c r="Q409" s="19">
        <v>3.0163890000000002</v>
      </c>
      <c r="R409" s="19"/>
      <c r="S409" s="19"/>
    </row>
    <row r="410" spans="1:19" hidden="1" x14ac:dyDescent="0.25">
      <c r="A410" s="28">
        <v>3018101</v>
      </c>
      <c r="B410" s="15" t="s">
        <v>171</v>
      </c>
      <c r="C410" s="19" t="s">
        <v>12</v>
      </c>
      <c r="D410" s="21" t="s">
        <v>13</v>
      </c>
      <c r="E410" s="19" t="s">
        <v>51</v>
      </c>
      <c r="F410" s="19" t="s">
        <v>172</v>
      </c>
      <c r="G410" s="19" t="s">
        <v>26</v>
      </c>
      <c r="H410" s="19" t="s">
        <v>173</v>
      </c>
      <c r="I410" s="19"/>
      <c r="J410" s="19" t="s">
        <v>18</v>
      </c>
      <c r="K410" s="19" t="s">
        <v>18</v>
      </c>
      <c r="L410" s="19" t="s">
        <v>19</v>
      </c>
      <c r="M410" s="19" t="s">
        <v>19</v>
      </c>
      <c r="N410" s="19" t="s">
        <v>18</v>
      </c>
      <c r="O410" s="19" t="s">
        <v>19</v>
      </c>
      <c r="P410" s="19">
        <v>101.880556</v>
      </c>
      <c r="Q410" s="19">
        <v>3.078611</v>
      </c>
      <c r="R410" s="19"/>
      <c r="S410" s="19" t="s">
        <v>41</v>
      </c>
    </row>
    <row r="411" spans="1:19" hidden="1" x14ac:dyDescent="0.25">
      <c r="A411" s="28">
        <v>3018103</v>
      </c>
      <c r="B411" s="15" t="s">
        <v>174</v>
      </c>
      <c r="C411" s="19" t="s">
        <v>12</v>
      </c>
      <c r="D411" s="21" t="s">
        <v>13</v>
      </c>
      <c r="E411" s="19" t="s">
        <v>51</v>
      </c>
      <c r="F411" s="19" t="s">
        <v>43</v>
      </c>
      <c r="G411" s="19" t="s">
        <v>43</v>
      </c>
      <c r="H411" s="19"/>
      <c r="I411" s="19"/>
      <c r="J411" s="19" t="s">
        <v>19</v>
      </c>
      <c r="K411" s="19" t="s">
        <v>18</v>
      </c>
      <c r="L411" s="19" t="s">
        <v>19</v>
      </c>
      <c r="M411" s="19" t="s">
        <v>18</v>
      </c>
      <c r="N411" s="19" t="s">
        <v>19</v>
      </c>
      <c r="O411" s="19" t="s">
        <v>19</v>
      </c>
      <c r="P411" s="19">
        <v>101.866056</v>
      </c>
      <c r="Q411" s="19">
        <v>3.0134439999999998</v>
      </c>
      <c r="R411" s="19"/>
      <c r="S411" s="19"/>
    </row>
    <row r="412" spans="1:19" hidden="1" x14ac:dyDescent="0.25">
      <c r="A412" s="28">
        <v>3018107</v>
      </c>
      <c r="B412" s="15" t="s">
        <v>175</v>
      </c>
      <c r="C412" s="19" t="s">
        <v>12</v>
      </c>
      <c r="D412" s="21" t="s">
        <v>13</v>
      </c>
      <c r="E412" s="19" t="s">
        <v>51</v>
      </c>
      <c r="F412" s="19" t="s">
        <v>172</v>
      </c>
      <c r="G412" s="19" t="s">
        <v>26</v>
      </c>
      <c r="H412" s="19" t="s">
        <v>145</v>
      </c>
      <c r="I412" s="19"/>
      <c r="J412" s="19" t="s">
        <v>18</v>
      </c>
      <c r="K412" s="19" t="s">
        <v>18</v>
      </c>
      <c r="L412" s="19" t="s">
        <v>19</v>
      </c>
      <c r="M412" s="19" t="s">
        <v>19</v>
      </c>
      <c r="N412" s="19" t="s">
        <v>18</v>
      </c>
      <c r="O412" s="19" t="s">
        <v>19</v>
      </c>
      <c r="P412" s="19">
        <v>101.881944</v>
      </c>
      <c r="Q412" s="19">
        <v>3.0036109999999998</v>
      </c>
      <c r="R412" s="19"/>
      <c r="S412" s="19" t="s">
        <v>20</v>
      </c>
    </row>
    <row r="413" spans="1:19" hidden="1" x14ac:dyDescent="0.25">
      <c r="A413" s="29">
        <v>3020016</v>
      </c>
      <c r="B413" s="25" t="s">
        <v>1413</v>
      </c>
      <c r="C413" s="26" t="s">
        <v>12</v>
      </c>
      <c r="D413" s="24" t="s">
        <v>1303</v>
      </c>
      <c r="E413" s="26" t="s">
        <v>1393</v>
      </c>
      <c r="F413" s="26"/>
      <c r="G413" s="26" t="s">
        <v>1363</v>
      </c>
      <c r="H413" s="26" t="s">
        <v>1408</v>
      </c>
      <c r="I413" s="26"/>
      <c r="J413" s="26" t="s">
        <v>18</v>
      </c>
      <c r="K413" s="26" t="s">
        <v>18</v>
      </c>
      <c r="L413" s="26" t="s">
        <v>18</v>
      </c>
      <c r="M413" s="26" t="s">
        <v>19</v>
      </c>
      <c r="N413" s="26" t="s">
        <v>18</v>
      </c>
      <c r="O413" s="26" t="s">
        <v>19</v>
      </c>
      <c r="P413" s="26">
        <v>102.073611</v>
      </c>
      <c r="Q413" s="26">
        <v>3.0930559999999998</v>
      </c>
      <c r="R413" s="26"/>
      <c r="S413" s="26" t="s">
        <v>41</v>
      </c>
    </row>
    <row r="414" spans="1:19" hidden="1" x14ac:dyDescent="0.25">
      <c r="A414" s="29">
        <v>3021001</v>
      </c>
      <c r="B414" s="25" t="s">
        <v>1414</v>
      </c>
      <c r="C414" s="26" t="s">
        <v>12</v>
      </c>
      <c r="D414" s="24" t="s">
        <v>1303</v>
      </c>
      <c r="E414" s="26" t="s">
        <v>1393</v>
      </c>
      <c r="F414" s="26"/>
      <c r="G414" s="26" t="s">
        <v>1363</v>
      </c>
      <c r="H414" s="26" t="s">
        <v>1415</v>
      </c>
      <c r="I414" s="26" t="s">
        <v>1416</v>
      </c>
      <c r="J414" s="26" t="s">
        <v>19</v>
      </c>
      <c r="K414" s="26" t="s">
        <v>19</v>
      </c>
      <c r="L414" s="26" t="s">
        <v>18</v>
      </c>
      <c r="M414" s="26" t="s">
        <v>19</v>
      </c>
      <c r="N414" s="26" t="s">
        <v>19</v>
      </c>
      <c r="O414" s="26" t="s">
        <v>19</v>
      </c>
      <c r="P414" s="26">
        <v>102.11666700000001</v>
      </c>
      <c r="Q414" s="26">
        <v>3.0597219999999998</v>
      </c>
      <c r="R414" s="26"/>
      <c r="S414" s="26" t="s">
        <v>41</v>
      </c>
    </row>
    <row r="415" spans="1:19" hidden="1" x14ac:dyDescent="0.25">
      <c r="A415" s="29">
        <v>3022001</v>
      </c>
      <c r="B415" s="25" t="s">
        <v>2637</v>
      </c>
      <c r="C415" s="26" t="s">
        <v>12</v>
      </c>
      <c r="D415" s="24" t="s">
        <v>1303</v>
      </c>
      <c r="E415" s="26" t="s">
        <v>1393</v>
      </c>
      <c r="F415" s="26"/>
      <c r="G415" s="26" t="s">
        <v>1363</v>
      </c>
      <c r="H415" s="26"/>
      <c r="I415" s="26"/>
      <c r="J415" s="26" t="s">
        <v>18</v>
      </c>
      <c r="K415" s="26" t="s">
        <v>18</v>
      </c>
      <c r="L415" s="26" t="s">
        <v>18</v>
      </c>
      <c r="M415" s="26" t="s">
        <v>19</v>
      </c>
      <c r="N415" s="26" t="s">
        <v>18</v>
      </c>
      <c r="O415" s="26" t="s">
        <v>19</v>
      </c>
      <c r="P415" s="26">
        <v>102.227778</v>
      </c>
      <c r="Q415" s="26">
        <v>3.049722</v>
      </c>
      <c r="R415" s="26"/>
      <c r="S415" s="26" t="s">
        <v>41</v>
      </c>
    </row>
    <row r="416" spans="1:19" hidden="1" x14ac:dyDescent="0.25">
      <c r="A416" s="29">
        <v>3023098</v>
      </c>
      <c r="B416" s="25" t="s">
        <v>1417</v>
      </c>
      <c r="C416" s="26" t="s">
        <v>12</v>
      </c>
      <c r="D416" s="24" t="s">
        <v>1303</v>
      </c>
      <c r="E416" s="26" t="s">
        <v>1344</v>
      </c>
      <c r="F416" s="26" t="s">
        <v>1418</v>
      </c>
      <c r="G416" s="26" t="s">
        <v>1363</v>
      </c>
      <c r="H416" s="26" t="s">
        <v>1419</v>
      </c>
      <c r="I416" s="26"/>
      <c r="J416" s="26" t="s">
        <v>18</v>
      </c>
      <c r="K416" s="26" t="s">
        <v>18</v>
      </c>
      <c r="L416" s="26" t="s">
        <v>18</v>
      </c>
      <c r="M416" s="26" t="s">
        <v>19</v>
      </c>
      <c r="N416" s="26" t="s">
        <v>18</v>
      </c>
      <c r="O416" s="26" t="s">
        <v>19</v>
      </c>
      <c r="P416" s="26">
        <v>102.369444</v>
      </c>
      <c r="Q416" s="26">
        <v>3.0847220000000002</v>
      </c>
      <c r="R416" s="26"/>
      <c r="S416" s="26" t="s">
        <v>41</v>
      </c>
    </row>
    <row r="417" spans="1:19" hidden="1" x14ac:dyDescent="0.25">
      <c r="A417" s="28">
        <v>3026156</v>
      </c>
      <c r="B417" s="15" t="s">
        <v>1467</v>
      </c>
      <c r="C417" s="19" t="s">
        <v>12</v>
      </c>
      <c r="D417" s="21" t="s">
        <v>1363</v>
      </c>
      <c r="E417" s="19" t="s">
        <v>1468</v>
      </c>
      <c r="F417" s="19" t="s">
        <v>1469</v>
      </c>
      <c r="G417" s="19" t="s">
        <v>1363</v>
      </c>
      <c r="H417" s="19" t="s">
        <v>1470</v>
      </c>
      <c r="I417" s="19"/>
      <c r="J417" s="19" t="s">
        <v>18</v>
      </c>
      <c r="K417" s="19" t="s">
        <v>18</v>
      </c>
      <c r="L417" s="19" t="s">
        <v>19</v>
      </c>
      <c r="M417" s="19" t="s">
        <v>19</v>
      </c>
      <c r="N417" s="19" t="s">
        <v>18</v>
      </c>
      <c r="O417" s="19" t="s">
        <v>19</v>
      </c>
      <c r="P417" s="19">
        <v>102.658333</v>
      </c>
      <c r="Q417" s="19">
        <v>3.0277780000000001</v>
      </c>
      <c r="R417" s="19"/>
      <c r="S417" s="19" t="s">
        <v>41</v>
      </c>
    </row>
    <row r="418" spans="1:19" hidden="1" x14ac:dyDescent="0.25">
      <c r="A418" s="28">
        <v>3028001</v>
      </c>
      <c r="B418" s="15" t="s">
        <v>1471</v>
      </c>
      <c r="C418" s="19" t="s">
        <v>12</v>
      </c>
      <c r="D418" s="21" t="s">
        <v>1363</v>
      </c>
      <c r="E418" s="19" t="s">
        <v>1442</v>
      </c>
      <c r="F418" s="19" t="s">
        <v>1472</v>
      </c>
      <c r="G418" s="19" t="s">
        <v>1425</v>
      </c>
      <c r="H418" s="19" t="s">
        <v>1473</v>
      </c>
      <c r="I418" s="19"/>
      <c r="J418" s="19" t="s">
        <v>18</v>
      </c>
      <c r="K418" s="19" t="s">
        <v>18</v>
      </c>
      <c r="L418" s="19" t="s">
        <v>19</v>
      </c>
      <c r="M418" s="19" t="s">
        <v>19</v>
      </c>
      <c r="N418" s="19" t="s">
        <v>18</v>
      </c>
      <c r="O418" s="19" t="s">
        <v>19</v>
      </c>
      <c r="P418" s="19">
        <v>102.83194399999999</v>
      </c>
      <c r="Q418" s="19">
        <v>3.0208330000000001</v>
      </c>
      <c r="R418" s="19"/>
      <c r="S418" s="19" t="s">
        <v>41</v>
      </c>
    </row>
    <row r="419" spans="1:19" hidden="1" x14ac:dyDescent="0.25">
      <c r="A419" s="28">
        <v>3030178</v>
      </c>
      <c r="B419" s="15" t="s">
        <v>1474</v>
      </c>
      <c r="C419" s="19" t="s">
        <v>12</v>
      </c>
      <c r="D419" s="21" t="s">
        <v>1363</v>
      </c>
      <c r="E419" s="19" t="s">
        <v>1442</v>
      </c>
      <c r="F419" s="19" t="s">
        <v>1475</v>
      </c>
      <c r="G419" s="19" t="s">
        <v>1425</v>
      </c>
      <c r="H419" s="19" t="s">
        <v>1444</v>
      </c>
      <c r="I419" s="19"/>
      <c r="J419" s="19" t="s">
        <v>18</v>
      </c>
      <c r="K419" s="19" t="s">
        <v>18</v>
      </c>
      <c r="L419" s="19" t="s">
        <v>19</v>
      </c>
      <c r="M419" s="19" t="s">
        <v>19</v>
      </c>
      <c r="N419" s="19" t="s">
        <v>18</v>
      </c>
      <c r="O419" s="19" t="s">
        <v>19</v>
      </c>
      <c r="P419" s="19">
        <v>103.080556</v>
      </c>
      <c r="Q419" s="19">
        <v>3.0652780000000002</v>
      </c>
      <c r="R419" s="19"/>
      <c r="S419" s="19" t="s">
        <v>41</v>
      </c>
    </row>
    <row r="420" spans="1:19" hidden="1" x14ac:dyDescent="0.25">
      <c r="A420" s="28">
        <v>3032167</v>
      </c>
      <c r="B420" s="15" t="s">
        <v>1476</v>
      </c>
      <c r="C420" s="19" t="s">
        <v>12</v>
      </c>
      <c r="D420" s="21" t="s">
        <v>1363</v>
      </c>
      <c r="E420" s="19" t="s">
        <v>1442</v>
      </c>
      <c r="F420" s="19" t="s">
        <v>1477</v>
      </c>
      <c r="G420" s="19" t="s">
        <v>1478</v>
      </c>
      <c r="H420" s="19" t="s">
        <v>951</v>
      </c>
      <c r="I420" s="19"/>
      <c r="J420" s="19" t="s">
        <v>18</v>
      </c>
      <c r="K420" s="19" t="s">
        <v>18</v>
      </c>
      <c r="L420" s="19" t="s">
        <v>19</v>
      </c>
      <c r="M420" s="19" t="s">
        <v>19</v>
      </c>
      <c r="N420" s="19" t="s">
        <v>18</v>
      </c>
      <c r="O420" s="19" t="s">
        <v>19</v>
      </c>
      <c r="P420" s="19">
        <v>103.198611</v>
      </c>
      <c r="Q420" s="19">
        <v>3.016667</v>
      </c>
      <c r="R420" s="19"/>
      <c r="S420" s="19" t="s">
        <v>41</v>
      </c>
    </row>
    <row r="421" spans="1:19" hidden="1" x14ac:dyDescent="0.25">
      <c r="A421" s="28">
        <v>3034168</v>
      </c>
      <c r="B421" s="15" t="s">
        <v>1479</v>
      </c>
      <c r="C421" s="19" t="s">
        <v>12</v>
      </c>
      <c r="D421" s="21" t="s">
        <v>1363</v>
      </c>
      <c r="E421" s="19" t="s">
        <v>1442</v>
      </c>
      <c r="F421" s="19" t="s">
        <v>1477</v>
      </c>
      <c r="G421" s="19" t="s">
        <v>1478</v>
      </c>
      <c r="H421" s="19" t="s">
        <v>1455</v>
      </c>
      <c r="I421" s="19"/>
      <c r="J421" s="19" t="s">
        <v>18</v>
      </c>
      <c r="K421" s="19" t="s">
        <v>18</v>
      </c>
      <c r="L421" s="19" t="s">
        <v>18</v>
      </c>
      <c r="M421" s="19" t="s">
        <v>19</v>
      </c>
      <c r="N421" s="19" t="s">
        <v>19</v>
      </c>
      <c r="O421" s="19" t="s">
        <v>19</v>
      </c>
      <c r="P421" s="19">
        <v>103.420833</v>
      </c>
      <c r="Q421" s="19">
        <v>3.0375000000000001</v>
      </c>
      <c r="R421" s="19"/>
      <c r="S421" s="19" t="s">
        <v>472</v>
      </c>
    </row>
    <row r="422" spans="1:19" hidden="1" x14ac:dyDescent="0.25">
      <c r="A422" s="28">
        <v>3110001</v>
      </c>
      <c r="B422" s="15" t="s">
        <v>176</v>
      </c>
      <c r="C422" s="19" t="s">
        <v>12</v>
      </c>
      <c r="D422" s="21" t="s">
        <v>13</v>
      </c>
      <c r="E422" s="19" t="s">
        <v>85</v>
      </c>
      <c r="F422" s="19"/>
      <c r="G422" s="19"/>
      <c r="H422" s="19" t="s">
        <v>177</v>
      </c>
      <c r="I422" s="19"/>
      <c r="J422" s="19" t="s">
        <v>19</v>
      </c>
      <c r="K422" s="19" t="s">
        <v>18</v>
      </c>
      <c r="L422" s="19" t="s">
        <v>19</v>
      </c>
      <c r="M422" s="19" t="s">
        <v>19</v>
      </c>
      <c r="N422" s="19" t="s">
        <v>18</v>
      </c>
      <c r="O422" s="19" t="s">
        <v>18</v>
      </c>
      <c r="P422" s="19">
        <v>101.629361</v>
      </c>
      <c r="Q422" s="19">
        <v>3.103167</v>
      </c>
      <c r="R422" s="19"/>
      <c r="S422" s="19"/>
    </row>
    <row r="423" spans="1:19" hidden="1" x14ac:dyDescent="0.25">
      <c r="A423" s="28">
        <v>3110002</v>
      </c>
      <c r="B423" s="15" t="s">
        <v>178</v>
      </c>
      <c r="C423" s="19" t="s">
        <v>12</v>
      </c>
      <c r="D423" s="21" t="s">
        <v>13</v>
      </c>
      <c r="E423" s="19" t="s">
        <v>85</v>
      </c>
      <c r="F423" s="19"/>
      <c r="G423" s="19"/>
      <c r="H423" s="19" t="s">
        <v>179</v>
      </c>
      <c r="I423" s="19"/>
      <c r="J423" s="19" t="s">
        <v>19</v>
      </c>
      <c r="K423" s="19" t="s">
        <v>18</v>
      </c>
      <c r="L423" s="19" t="s">
        <v>19</v>
      </c>
      <c r="M423" s="19" t="s">
        <v>19</v>
      </c>
      <c r="N423" s="19" t="s">
        <v>19</v>
      </c>
      <c r="O423" s="19" t="s">
        <v>18</v>
      </c>
      <c r="P423" s="19">
        <v>101.61408299999999</v>
      </c>
      <c r="Q423" s="19">
        <v>3.101944</v>
      </c>
      <c r="R423" s="19"/>
      <c r="S423" s="19"/>
    </row>
    <row r="424" spans="1:19" hidden="1" x14ac:dyDescent="0.25">
      <c r="A424" s="28">
        <v>3110003</v>
      </c>
      <c r="B424" s="15" t="s">
        <v>180</v>
      </c>
      <c r="C424" s="19" t="s">
        <v>12</v>
      </c>
      <c r="D424" s="21" t="s">
        <v>13</v>
      </c>
      <c r="E424" s="19" t="s">
        <v>85</v>
      </c>
      <c r="F424" s="19"/>
      <c r="G424" s="19"/>
      <c r="H424" s="19" t="s">
        <v>181</v>
      </c>
      <c r="I424" s="19"/>
      <c r="J424" s="19" t="s">
        <v>19</v>
      </c>
      <c r="K424" s="19" t="s">
        <v>18</v>
      </c>
      <c r="L424" s="19" t="s">
        <v>19</v>
      </c>
      <c r="M424" s="19" t="s">
        <v>19</v>
      </c>
      <c r="N424" s="19" t="s">
        <v>18</v>
      </c>
      <c r="O424" s="19" t="s">
        <v>18</v>
      </c>
      <c r="P424" s="19">
        <v>101.63547199999999</v>
      </c>
      <c r="Q424" s="19">
        <v>3.1091389999999999</v>
      </c>
      <c r="R424" s="19"/>
      <c r="S424" s="19"/>
    </row>
    <row r="425" spans="1:19" hidden="1" x14ac:dyDescent="0.25">
      <c r="A425" s="28">
        <v>3110004</v>
      </c>
      <c r="B425" s="15" t="s">
        <v>182</v>
      </c>
      <c r="C425" s="19" t="s">
        <v>12</v>
      </c>
      <c r="D425" s="21" t="s">
        <v>13</v>
      </c>
      <c r="E425" s="19" t="s">
        <v>85</v>
      </c>
      <c r="F425" s="19"/>
      <c r="G425" s="19"/>
      <c r="H425" s="19" t="s">
        <v>183</v>
      </c>
      <c r="I425" s="19"/>
      <c r="J425" s="19" t="s">
        <v>19</v>
      </c>
      <c r="K425" s="19" t="s">
        <v>18</v>
      </c>
      <c r="L425" s="19" t="s">
        <v>19</v>
      </c>
      <c r="M425" s="19" t="s">
        <v>19</v>
      </c>
      <c r="N425" s="19" t="s">
        <v>18</v>
      </c>
      <c r="O425" s="19" t="s">
        <v>18</v>
      </c>
      <c r="P425" s="19">
        <v>101.63547199999999</v>
      </c>
      <c r="Q425" s="19">
        <v>3.1221939999999999</v>
      </c>
      <c r="R425" s="19"/>
      <c r="S425" s="19"/>
    </row>
    <row r="426" spans="1:19" hidden="1" x14ac:dyDescent="0.25">
      <c r="A426" s="28">
        <v>3110005</v>
      </c>
      <c r="B426" s="15" t="s">
        <v>184</v>
      </c>
      <c r="C426" s="19" t="s">
        <v>12</v>
      </c>
      <c r="D426" s="21" t="s">
        <v>13</v>
      </c>
      <c r="E426" s="19" t="s">
        <v>85</v>
      </c>
      <c r="F426" s="19"/>
      <c r="G426" s="19"/>
      <c r="H426" s="19" t="s">
        <v>179</v>
      </c>
      <c r="I426" s="19"/>
      <c r="J426" s="19" t="s">
        <v>19</v>
      </c>
      <c r="K426" s="19" t="s">
        <v>18</v>
      </c>
      <c r="L426" s="19" t="s">
        <v>19</v>
      </c>
      <c r="M426" s="19" t="s">
        <v>19</v>
      </c>
      <c r="N426" s="19" t="s">
        <v>18</v>
      </c>
      <c r="O426" s="19" t="s">
        <v>18</v>
      </c>
      <c r="P426" s="19">
        <v>101.61744400000001</v>
      </c>
      <c r="Q426" s="19">
        <v>3.1105559999999999</v>
      </c>
      <c r="R426" s="19"/>
      <c r="S426" s="19"/>
    </row>
    <row r="427" spans="1:19" hidden="1" x14ac:dyDescent="0.25">
      <c r="A427" s="28">
        <v>3110006</v>
      </c>
      <c r="B427" s="15" t="s">
        <v>185</v>
      </c>
      <c r="C427" s="19" t="s">
        <v>12</v>
      </c>
      <c r="D427" s="21" t="s">
        <v>13</v>
      </c>
      <c r="E427" s="19" t="s">
        <v>85</v>
      </c>
      <c r="F427" s="19"/>
      <c r="G427" s="19"/>
      <c r="H427" s="19" t="s">
        <v>179</v>
      </c>
      <c r="I427" s="19"/>
      <c r="J427" s="19" t="s">
        <v>19</v>
      </c>
      <c r="K427" s="19" t="s">
        <v>18</v>
      </c>
      <c r="L427" s="19" t="s">
        <v>19</v>
      </c>
      <c r="M427" s="19" t="s">
        <v>19</v>
      </c>
      <c r="N427" s="19" t="s">
        <v>18</v>
      </c>
      <c r="O427" s="19" t="s">
        <v>18</v>
      </c>
      <c r="P427" s="19">
        <v>101.598083</v>
      </c>
      <c r="Q427" s="19">
        <v>3.125194</v>
      </c>
      <c r="R427" s="19"/>
      <c r="S427" s="19"/>
    </row>
    <row r="428" spans="1:19" hidden="1" x14ac:dyDescent="0.25">
      <c r="A428" s="28">
        <v>3110007</v>
      </c>
      <c r="B428" s="15" t="s">
        <v>186</v>
      </c>
      <c r="C428" s="19" t="s">
        <v>12</v>
      </c>
      <c r="D428" s="21" t="s">
        <v>13</v>
      </c>
      <c r="E428" s="19" t="s">
        <v>85</v>
      </c>
      <c r="F428" s="19"/>
      <c r="G428" s="19"/>
      <c r="H428" s="19" t="s">
        <v>187</v>
      </c>
      <c r="I428" s="19"/>
      <c r="J428" s="19" t="s">
        <v>19</v>
      </c>
      <c r="K428" s="19" t="s">
        <v>18</v>
      </c>
      <c r="L428" s="19" t="s">
        <v>19</v>
      </c>
      <c r="M428" s="19" t="s">
        <v>19</v>
      </c>
      <c r="N428" s="19" t="s">
        <v>18</v>
      </c>
      <c r="O428" s="19" t="s">
        <v>18</v>
      </c>
      <c r="P428" s="19">
        <v>101.60766700000001</v>
      </c>
      <c r="Q428" s="19">
        <v>3.1151390000000001</v>
      </c>
      <c r="R428" s="19"/>
      <c r="S428" s="19"/>
    </row>
    <row r="429" spans="1:19" hidden="1" x14ac:dyDescent="0.25">
      <c r="A429" s="28">
        <v>3110008</v>
      </c>
      <c r="B429" s="15" t="s">
        <v>188</v>
      </c>
      <c r="C429" s="19" t="s">
        <v>12</v>
      </c>
      <c r="D429" s="21" t="s">
        <v>13</v>
      </c>
      <c r="E429" s="19" t="s">
        <v>189</v>
      </c>
      <c r="F429" s="19" t="s">
        <v>190</v>
      </c>
      <c r="G429" s="19"/>
      <c r="H429" s="19" t="s">
        <v>191</v>
      </c>
      <c r="I429" s="19"/>
      <c r="J429" s="19" t="s">
        <v>19</v>
      </c>
      <c r="K429" s="19" t="s">
        <v>18</v>
      </c>
      <c r="L429" s="19" t="s">
        <v>19</v>
      </c>
      <c r="M429" s="19" t="s">
        <v>19</v>
      </c>
      <c r="N429" s="19" t="s">
        <v>19</v>
      </c>
      <c r="O429" s="19" t="s">
        <v>18</v>
      </c>
      <c r="P429" s="19">
        <v>101.624444</v>
      </c>
      <c r="Q429" s="19">
        <v>3.149</v>
      </c>
      <c r="R429" s="19"/>
      <c r="S429" s="19"/>
    </row>
    <row r="430" spans="1:19" hidden="1" x14ac:dyDescent="0.25">
      <c r="A430" s="28">
        <v>3110009</v>
      </c>
      <c r="B430" s="15" t="s">
        <v>192</v>
      </c>
      <c r="C430" s="19" t="s">
        <v>12</v>
      </c>
      <c r="D430" s="21" t="s">
        <v>13</v>
      </c>
      <c r="E430" s="19" t="s">
        <v>85</v>
      </c>
      <c r="F430" s="19"/>
      <c r="G430" s="19"/>
      <c r="H430" s="19" t="s">
        <v>193</v>
      </c>
      <c r="I430" s="19"/>
      <c r="J430" s="19" t="s">
        <v>19</v>
      </c>
      <c r="K430" s="19" t="s">
        <v>18</v>
      </c>
      <c r="L430" s="19" t="s">
        <v>19</v>
      </c>
      <c r="M430" s="19" t="s">
        <v>19</v>
      </c>
      <c r="N430" s="19" t="s">
        <v>18</v>
      </c>
      <c r="O430" s="19" t="s">
        <v>18</v>
      </c>
      <c r="P430" s="19">
        <v>101.592111</v>
      </c>
      <c r="Q430" s="19">
        <v>3.1369440000000002</v>
      </c>
      <c r="R430" s="19"/>
      <c r="S430" s="19"/>
    </row>
    <row r="431" spans="1:19" hidden="1" x14ac:dyDescent="0.25">
      <c r="A431" s="28">
        <v>3110010</v>
      </c>
      <c r="B431" s="15" t="s">
        <v>194</v>
      </c>
      <c r="C431" s="19" t="s">
        <v>12</v>
      </c>
      <c r="D431" s="21" t="s">
        <v>13</v>
      </c>
      <c r="E431" s="19" t="s">
        <v>189</v>
      </c>
      <c r="F431" s="19" t="s">
        <v>190</v>
      </c>
      <c r="G431" s="19"/>
      <c r="H431" s="19" t="s">
        <v>195</v>
      </c>
      <c r="I431" s="19"/>
      <c r="J431" s="19" t="s">
        <v>19</v>
      </c>
      <c r="K431" s="19" t="s">
        <v>18</v>
      </c>
      <c r="L431" s="19" t="s">
        <v>19</v>
      </c>
      <c r="M431" s="19" t="s">
        <v>19</v>
      </c>
      <c r="N431" s="19" t="s">
        <v>18</v>
      </c>
      <c r="O431" s="19" t="s">
        <v>18</v>
      </c>
      <c r="P431" s="19">
        <v>101.625833</v>
      </c>
      <c r="Q431" s="19">
        <v>3.1523889999999999</v>
      </c>
      <c r="R431" s="19"/>
      <c r="S431" s="19"/>
    </row>
    <row r="432" spans="1:19" hidden="1" x14ac:dyDescent="0.25">
      <c r="A432" s="28">
        <v>3110011</v>
      </c>
      <c r="B432" s="15" t="s">
        <v>196</v>
      </c>
      <c r="C432" s="19" t="s">
        <v>12</v>
      </c>
      <c r="D432" s="21" t="s">
        <v>13</v>
      </c>
      <c r="E432" s="19" t="s">
        <v>189</v>
      </c>
      <c r="F432" s="19" t="s">
        <v>190</v>
      </c>
      <c r="G432" s="19"/>
      <c r="H432" s="19" t="s">
        <v>197</v>
      </c>
      <c r="I432" s="19"/>
      <c r="J432" s="19" t="s">
        <v>19</v>
      </c>
      <c r="K432" s="19" t="s">
        <v>18</v>
      </c>
      <c r="L432" s="19" t="s">
        <v>19</v>
      </c>
      <c r="M432" s="19" t="s">
        <v>19</v>
      </c>
      <c r="N432" s="19" t="s">
        <v>18</v>
      </c>
      <c r="O432" s="19" t="s">
        <v>18</v>
      </c>
      <c r="P432" s="19">
        <v>101.633</v>
      </c>
      <c r="Q432" s="19">
        <v>3.1756669999999998</v>
      </c>
      <c r="R432" s="19"/>
      <c r="S432" s="19"/>
    </row>
    <row r="433" spans="1:19" hidden="1" x14ac:dyDescent="0.25">
      <c r="A433" s="28">
        <v>3110012</v>
      </c>
      <c r="B433" s="15" t="s">
        <v>198</v>
      </c>
      <c r="C433" s="19" t="s">
        <v>12</v>
      </c>
      <c r="D433" s="21" t="s">
        <v>13</v>
      </c>
      <c r="E433" s="19" t="s">
        <v>189</v>
      </c>
      <c r="F433" s="19" t="s">
        <v>190</v>
      </c>
      <c r="G433" s="19"/>
      <c r="H433" s="19" t="s">
        <v>193</v>
      </c>
      <c r="I433" s="19"/>
      <c r="J433" s="19" t="s">
        <v>19</v>
      </c>
      <c r="K433" s="19" t="s">
        <v>18</v>
      </c>
      <c r="L433" s="19" t="s">
        <v>19</v>
      </c>
      <c r="M433" s="19" t="s">
        <v>19</v>
      </c>
      <c r="N433" s="19" t="s">
        <v>18</v>
      </c>
      <c r="O433" s="19" t="s">
        <v>18</v>
      </c>
      <c r="P433" s="19">
        <v>101.6275</v>
      </c>
      <c r="Q433" s="19">
        <v>3.162722</v>
      </c>
      <c r="R433" s="19"/>
      <c r="S433" s="19"/>
    </row>
    <row r="434" spans="1:19" hidden="1" x14ac:dyDescent="0.25">
      <c r="A434" s="28">
        <v>3110013</v>
      </c>
      <c r="B434" s="15" t="s">
        <v>199</v>
      </c>
      <c r="C434" s="19" t="s">
        <v>12</v>
      </c>
      <c r="D434" s="21" t="s">
        <v>13</v>
      </c>
      <c r="E434" s="19" t="s">
        <v>85</v>
      </c>
      <c r="F434" s="19"/>
      <c r="G434" s="19"/>
      <c r="H434" s="19" t="s">
        <v>179</v>
      </c>
      <c r="I434" s="19"/>
      <c r="J434" s="19" t="s">
        <v>19</v>
      </c>
      <c r="K434" s="19" t="s">
        <v>18</v>
      </c>
      <c r="L434" s="19" t="s">
        <v>19</v>
      </c>
      <c r="M434" s="19" t="s">
        <v>19</v>
      </c>
      <c r="N434" s="19" t="s">
        <v>18</v>
      </c>
      <c r="O434" s="19" t="s">
        <v>18</v>
      </c>
      <c r="P434" s="19">
        <v>101.61236100000001</v>
      </c>
      <c r="Q434" s="19">
        <v>3.1449440000000002</v>
      </c>
      <c r="R434" s="19"/>
      <c r="S434" s="19"/>
    </row>
    <row r="435" spans="1:19" hidden="1" x14ac:dyDescent="0.25">
      <c r="A435" s="28">
        <v>3110014</v>
      </c>
      <c r="B435" s="15" t="s">
        <v>200</v>
      </c>
      <c r="C435" s="19" t="s">
        <v>12</v>
      </c>
      <c r="D435" s="21" t="s">
        <v>13</v>
      </c>
      <c r="E435" s="19" t="s">
        <v>85</v>
      </c>
      <c r="F435" s="19"/>
      <c r="G435" s="19"/>
      <c r="H435" s="19" t="s">
        <v>201</v>
      </c>
      <c r="I435" s="19"/>
      <c r="J435" s="19" t="s">
        <v>19</v>
      </c>
      <c r="K435" s="19" t="s">
        <v>18</v>
      </c>
      <c r="L435" s="19" t="s">
        <v>19</v>
      </c>
      <c r="M435" s="19" t="s">
        <v>19</v>
      </c>
      <c r="N435" s="19" t="s">
        <v>18</v>
      </c>
      <c r="O435" s="19" t="s">
        <v>18</v>
      </c>
      <c r="P435" s="19">
        <v>101.61788900000001</v>
      </c>
      <c r="Q435" s="19">
        <v>3.1303329999999998</v>
      </c>
      <c r="R435" s="19"/>
      <c r="S435" s="19"/>
    </row>
    <row r="436" spans="1:19" hidden="1" x14ac:dyDescent="0.25">
      <c r="A436" s="28">
        <v>3110015</v>
      </c>
      <c r="B436" s="15" t="s">
        <v>202</v>
      </c>
      <c r="C436" s="19" t="s">
        <v>12</v>
      </c>
      <c r="D436" s="21" t="s">
        <v>13</v>
      </c>
      <c r="E436" s="19" t="s">
        <v>85</v>
      </c>
      <c r="F436" s="19"/>
      <c r="G436" s="19"/>
      <c r="H436" s="19" t="s">
        <v>203</v>
      </c>
      <c r="I436" s="19"/>
      <c r="J436" s="19" t="s">
        <v>19</v>
      </c>
      <c r="K436" s="19" t="s">
        <v>18</v>
      </c>
      <c r="L436" s="19" t="s">
        <v>19</v>
      </c>
      <c r="M436" s="19" t="s">
        <v>19</v>
      </c>
      <c r="N436" s="19" t="s">
        <v>18</v>
      </c>
      <c r="O436" s="19" t="s">
        <v>18</v>
      </c>
      <c r="P436" s="19">
        <v>101.62</v>
      </c>
      <c r="Q436" s="19">
        <v>3.1830560000000001</v>
      </c>
      <c r="R436" s="19"/>
      <c r="S436" s="19"/>
    </row>
    <row r="437" spans="1:19" hidden="1" x14ac:dyDescent="0.25">
      <c r="A437" s="28">
        <v>3110016</v>
      </c>
      <c r="B437" s="15" t="s">
        <v>204</v>
      </c>
      <c r="C437" s="19" t="s">
        <v>12</v>
      </c>
      <c r="D437" s="21" t="s">
        <v>13</v>
      </c>
      <c r="E437" s="19" t="s">
        <v>189</v>
      </c>
      <c r="F437" s="19" t="s">
        <v>190</v>
      </c>
      <c r="G437" s="19"/>
      <c r="H437" s="19" t="s">
        <v>205</v>
      </c>
      <c r="I437" s="19"/>
      <c r="J437" s="19" t="s">
        <v>19</v>
      </c>
      <c r="K437" s="19" t="s">
        <v>18</v>
      </c>
      <c r="L437" s="19" t="s">
        <v>19</v>
      </c>
      <c r="M437" s="19" t="s">
        <v>19</v>
      </c>
      <c r="N437" s="19" t="s">
        <v>18</v>
      </c>
      <c r="O437" s="19" t="s">
        <v>18</v>
      </c>
      <c r="P437" s="19">
        <v>101.639833</v>
      </c>
      <c r="Q437" s="19">
        <v>3.13375</v>
      </c>
      <c r="R437" s="19"/>
      <c r="S437" s="19"/>
    </row>
    <row r="438" spans="1:19" hidden="1" x14ac:dyDescent="0.25">
      <c r="A438" s="28">
        <v>3111404</v>
      </c>
      <c r="B438" s="15" t="s">
        <v>206</v>
      </c>
      <c r="C438" s="19" t="s">
        <v>12</v>
      </c>
      <c r="D438" s="21" t="s">
        <v>13</v>
      </c>
      <c r="E438" s="19" t="s">
        <v>85</v>
      </c>
      <c r="F438" s="19"/>
      <c r="G438" s="19"/>
      <c r="H438" s="19" t="s">
        <v>207</v>
      </c>
      <c r="I438" s="19"/>
      <c r="J438" s="19" t="s">
        <v>19</v>
      </c>
      <c r="K438" s="19" t="s">
        <v>18</v>
      </c>
      <c r="L438" s="19" t="s">
        <v>19</v>
      </c>
      <c r="M438" s="19" t="s">
        <v>18</v>
      </c>
      <c r="N438" s="19" t="s">
        <v>19</v>
      </c>
      <c r="O438" s="19" t="s">
        <v>18</v>
      </c>
      <c r="P438" s="19">
        <v>101.598028</v>
      </c>
      <c r="Q438" s="19">
        <v>3.1127220000000002</v>
      </c>
      <c r="R438" s="19"/>
      <c r="S438" s="19"/>
    </row>
    <row r="439" spans="1:19" hidden="1" x14ac:dyDescent="0.25">
      <c r="A439" s="28">
        <v>3113059</v>
      </c>
      <c r="B439" s="15" t="s">
        <v>208</v>
      </c>
      <c r="C439" s="19" t="s">
        <v>12</v>
      </c>
      <c r="D439" s="21" t="s">
        <v>13</v>
      </c>
      <c r="E439" s="19" t="s">
        <v>209</v>
      </c>
      <c r="F439" s="19" t="s">
        <v>210</v>
      </c>
      <c r="G439" s="19" t="s">
        <v>211</v>
      </c>
      <c r="H439" s="19" t="s">
        <v>212</v>
      </c>
      <c r="I439" s="19"/>
      <c r="J439" s="19" t="s">
        <v>18</v>
      </c>
      <c r="K439" s="19" t="s">
        <v>18</v>
      </c>
      <c r="L439" s="19" t="s">
        <v>19</v>
      </c>
      <c r="M439" s="19" t="s">
        <v>19</v>
      </c>
      <c r="N439" s="19" t="s">
        <v>18</v>
      </c>
      <c r="O439" s="19" t="s">
        <v>19</v>
      </c>
      <c r="P439" s="19">
        <v>101.344444</v>
      </c>
      <c r="Q439" s="19">
        <v>3.1763889999999999</v>
      </c>
      <c r="R439" s="19"/>
      <c r="S439" s="19" t="s">
        <v>20</v>
      </c>
    </row>
    <row r="440" spans="1:19" hidden="1" x14ac:dyDescent="0.25">
      <c r="A440" s="28">
        <v>3113087</v>
      </c>
      <c r="B440" s="15" t="s">
        <v>213</v>
      </c>
      <c r="C440" s="19" t="s">
        <v>12</v>
      </c>
      <c r="D440" s="21" t="s">
        <v>13</v>
      </c>
      <c r="E440" s="19" t="s">
        <v>69</v>
      </c>
      <c r="F440" s="19" t="s">
        <v>111</v>
      </c>
      <c r="G440" s="19" t="s">
        <v>69</v>
      </c>
      <c r="H440" s="19" t="s">
        <v>214</v>
      </c>
      <c r="I440" s="19"/>
      <c r="J440" s="19" t="s">
        <v>18</v>
      </c>
      <c r="K440" s="19" t="s">
        <v>18</v>
      </c>
      <c r="L440" s="19" t="s">
        <v>19</v>
      </c>
      <c r="M440" s="19" t="s">
        <v>19</v>
      </c>
      <c r="N440" s="19" t="s">
        <v>18</v>
      </c>
      <c r="O440" s="19" t="s">
        <v>19</v>
      </c>
      <c r="P440" s="19">
        <v>101.38333299999999</v>
      </c>
      <c r="Q440" s="19">
        <v>3.1222219999999998</v>
      </c>
      <c r="R440" s="19"/>
      <c r="S440" s="19" t="s">
        <v>20</v>
      </c>
    </row>
    <row r="441" spans="1:19" hidden="1" x14ac:dyDescent="0.25">
      <c r="A441" s="29">
        <v>3114005</v>
      </c>
      <c r="B441" s="25" t="s">
        <v>1183</v>
      </c>
      <c r="C441" s="26" t="s">
        <v>12</v>
      </c>
      <c r="D441" s="24" t="s">
        <v>157</v>
      </c>
      <c r="E441" s="26" t="s">
        <v>157</v>
      </c>
      <c r="F441" s="26"/>
      <c r="G441" s="26"/>
      <c r="H441" s="26"/>
      <c r="I441" s="26"/>
      <c r="J441" s="26" t="s">
        <v>19</v>
      </c>
      <c r="K441" s="26" t="s">
        <v>18</v>
      </c>
      <c r="L441" s="26" t="s">
        <v>19</v>
      </c>
      <c r="M441" s="26" t="s">
        <v>19</v>
      </c>
      <c r="N441" s="26" t="s">
        <v>18</v>
      </c>
      <c r="O441" s="26" t="s">
        <v>19</v>
      </c>
      <c r="P441" s="26">
        <v>101.761183</v>
      </c>
      <c r="Q441" s="26">
        <v>3.1824499999999998</v>
      </c>
      <c r="R441" s="26"/>
      <c r="S441" s="26"/>
    </row>
    <row r="442" spans="1:19" hidden="1" x14ac:dyDescent="0.25">
      <c r="A442" s="28">
        <v>3114085</v>
      </c>
      <c r="B442" s="15" t="s">
        <v>215</v>
      </c>
      <c r="C442" s="19" t="s">
        <v>12</v>
      </c>
      <c r="D442" s="21" t="s">
        <v>13</v>
      </c>
      <c r="E442" s="19" t="s">
        <v>85</v>
      </c>
      <c r="F442" s="19" t="s">
        <v>78</v>
      </c>
      <c r="G442" s="19" t="s">
        <v>78</v>
      </c>
      <c r="H442" s="19"/>
      <c r="I442" s="19"/>
      <c r="J442" s="19" t="s">
        <v>18</v>
      </c>
      <c r="K442" s="19" t="s">
        <v>18</v>
      </c>
      <c r="L442" s="19" t="s">
        <v>19</v>
      </c>
      <c r="M442" s="19" t="s">
        <v>19</v>
      </c>
      <c r="N442" s="19" t="s">
        <v>18</v>
      </c>
      <c r="O442" s="19" t="s">
        <v>19</v>
      </c>
      <c r="P442" s="19">
        <v>101.455556</v>
      </c>
      <c r="Q442" s="19">
        <v>3.1027779999999998</v>
      </c>
      <c r="R442" s="19"/>
      <c r="S442" s="19"/>
    </row>
    <row r="443" spans="1:19" hidden="1" x14ac:dyDescent="0.25">
      <c r="A443" s="28">
        <v>3114086</v>
      </c>
      <c r="B443" s="15" t="s">
        <v>216</v>
      </c>
      <c r="C443" s="19" t="s">
        <v>12</v>
      </c>
      <c r="D443" s="21" t="s">
        <v>13</v>
      </c>
      <c r="E443" s="19" t="s">
        <v>69</v>
      </c>
      <c r="F443" s="19" t="s">
        <v>111</v>
      </c>
      <c r="G443" s="19" t="s">
        <v>69</v>
      </c>
      <c r="H443" s="19" t="s">
        <v>80</v>
      </c>
      <c r="I443" s="19"/>
      <c r="J443" s="19" t="s">
        <v>18</v>
      </c>
      <c r="K443" s="19" t="s">
        <v>18</v>
      </c>
      <c r="L443" s="19" t="s">
        <v>19</v>
      </c>
      <c r="M443" s="19" t="s">
        <v>19</v>
      </c>
      <c r="N443" s="19" t="s">
        <v>18</v>
      </c>
      <c r="O443" s="19" t="s">
        <v>19</v>
      </c>
      <c r="P443" s="19">
        <v>101.40138899999999</v>
      </c>
      <c r="Q443" s="19">
        <v>3.134722</v>
      </c>
      <c r="R443" s="19"/>
      <c r="S443" s="19" t="s">
        <v>20</v>
      </c>
    </row>
    <row r="444" spans="1:19" hidden="1" x14ac:dyDescent="0.25">
      <c r="A444" s="28">
        <v>3114087</v>
      </c>
      <c r="B444" s="15" t="s">
        <v>217</v>
      </c>
      <c r="C444" s="19" t="s">
        <v>12</v>
      </c>
      <c r="D444" s="21" t="s">
        <v>13</v>
      </c>
      <c r="E444" s="19" t="s">
        <v>85</v>
      </c>
      <c r="F444" s="19" t="s">
        <v>86</v>
      </c>
      <c r="G444" s="19" t="s">
        <v>78</v>
      </c>
      <c r="H444" s="19"/>
      <c r="I444" s="19"/>
      <c r="J444" s="19" t="s">
        <v>19</v>
      </c>
      <c r="K444" s="19" t="s">
        <v>18</v>
      </c>
      <c r="L444" s="19" t="s">
        <v>19</v>
      </c>
      <c r="M444" s="19" t="s">
        <v>18</v>
      </c>
      <c r="N444" s="19" t="s">
        <v>19</v>
      </c>
      <c r="O444" s="19" t="s">
        <v>19</v>
      </c>
      <c r="P444" s="19">
        <v>101.479444</v>
      </c>
      <c r="Q444" s="19">
        <v>3.1669719999999999</v>
      </c>
      <c r="R444" s="19"/>
      <c r="S444" s="19"/>
    </row>
    <row r="445" spans="1:19" hidden="1" x14ac:dyDescent="0.25">
      <c r="A445" s="29">
        <v>3114113</v>
      </c>
      <c r="B445" s="25" t="s">
        <v>1184</v>
      </c>
      <c r="C445" s="26" t="s">
        <v>12</v>
      </c>
      <c r="D445" s="24" t="s">
        <v>157</v>
      </c>
      <c r="E445" s="26" t="s">
        <v>157</v>
      </c>
      <c r="F445" s="26"/>
      <c r="G445" s="26"/>
      <c r="H445" s="26"/>
      <c r="I445" s="26"/>
      <c r="J445" s="26" t="s">
        <v>19</v>
      </c>
      <c r="K445" s="26" t="s">
        <v>18</v>
      </c>
      <c r="L445" s="26" t="s">
        <v>19</v>
      </c>
      <c r="M445" s="26" t="s">
        <v>19</v>
      </c>
      <c r="N445" s="26" t="s">
        <v>18</v>
      </c>
      <c r="O445" s="26" t="s">
        <v>19</v>
      </c>
      <c r="P445" s="26">
        <v>101.659361</v>
      </c>
      <c r="Q445" s="26">
        <v>3.1938059999999999</v>
      </c>
      <c r="R445" s="26"/>
      <c r="S445" s="26"/>
    </row>
    <row r="446" spans="1:19" hidden="1" x14ac:dyDescent="0.25">
      <c r="A446" s="29">
        <v>3114114</v>
      </c>
      <c r="B446" s="25" t="s">
        <v>1185</v>
      </c>
      <c r="C446" s="26" t="s">
        <v>12</v>
      </c>
      <c r="D446" s="24" t="s">
        <v>157</v>
      </c>
      <c r="E446" s="26" t="s">
        <v>157</v>
      </c>
      <c r="F446" s="26"/>
      <c r="G446" s="26"/>
      <c r="H446" s="26"/>
      <c r="I446" s="26"/>
      <c r="J446" s="26" t="s">
        <v>19</v>
      </c>
      <c r="K446" s="26" t="s">
        <v>18</v>
      </c>
      <c r="L446" s="26" t="s">
        <v>19</v>
      </c>
      <c r="M446" s="26" t="s">
        <v>19</v>
      </c>
      <c r="N446" s="26" t="s">
        <v>18</v>
      </c>
      <c r="O446" s="26" t="s">
        <v>19</v>
      </c>
      <c r="P446" s="26">
        <v>101.74130599999999</v>
      </c>
      <c r="Q446" s="26">
        <v>3.1660279999999998</v>
      </c>
      <c r="R446" s="26"/>
      <c r="S446" s="26"/>
    </row>
    <row r="447" spans="1:19" hidden="1" x14ac:dyDescent="0.25">
      <c r="A447" s="28">
        <v>3115001</v>
      </c>
      <c r="B447" s="15" t="s">
        <v>218</v>
      </c>
      <c r="C447" s="19" t="s">
        <v>12</v>
      </c>
      <c r="D447" s="21" t="s">
        <v>13</v>
      </c>
      <c r="E447" s="19" t="s">
        <v>69</v>
      </c>
      <c r="F447" s="19"/>
      <c r="G447" s="19" t="s">
        <v>69</v>
      </c>
      <c r="H447" s="19" t="s">
        <v>219</v>
      </c>
      <c r="I447" s="19"/>
      <c r="J447" s="19" t="s">
        <v>19</v>
      </c>
      <c r="K447" s="19" t="s">
        <v>19</v>
      </c>
      <c r="L447" s="19" t="s">
        <v>18</v>
      </c>
      <c r="M447" s="19" t="s">
        <v>19</v>
      </c>
      <c r="N447" s="19" t="s">
        <v>19</v>
      </c>
      <c r="O447" s="19" t="s">
        <v>19</v>
      </c>
      <c r="P447" s="19">
        <v>101.5</v>
      </c>
      <c r="Q447" s="19">
        <v>3.1625000000000001</v>
      </c>
      <c r="R447" s="19"/>
      <c r="S447" s="19" t="s">
        <v>221</v>
      </c>
    </row>
    <row r="448" spans="1:19" hidden="1" x14ac:dyDescent="0.25">
      <c r="A448" s="28">
        <v>3115053</v>
      </c>
      <c r="B448" s="15" t="s">
        <v>222</v>
      </c>
      <c r="C448" s="19" t="s">
        <v>12</v>
      </c>
      <c r="D448" s="21" t="s">
        <v>13</v>
      </c>
      <c r="E448" s="19" t="s">
        <v>209</v>
      </c>
      <c r="F448" s="19" t="s">
        <v>223</v>
      </c>
      <c r="G448" s="19" t="s">
        <v>224</v>
      </c>
      <c r="H448" s="19" t="s">
        <v>225</v>
      </c>
      <c r="I448" s="19"/>
      <c r="J448" s="19" t="s">
        <v>18</v>
      </c>
      <c r="K448" s="19" t="s">
        <v>18</v>
      </c>
      <c r="L448" s="19" t="s">
        <v>19</v>
      </c>
      <c r="M448" s="19" t="s">
        <v>19</v>
      </c>
      <c r="N448" s="19" t="s">
        <v>18</v>
      </c>
      <c r="O448" s="19" t="s">
        <v>19</v>
      </c>
      <c r="P448" s="19">
        <v>101.50425</v>
      </c>
      <c r="Q448" s="19">
        <v>3.20275</v>
      </c>
      <c r="R448" s="19"/>
      <c r="S448" s="19" t="s">
        <v>20</v>
      </c>
    </row>
    <row r="449" spans="1:19" hidden="1" x14ac:dyDescent="0.25">
      <c r="A449" s="28">
        <v>3115079</v>
      </c>
      <c r="B449" s="15" t="s">
        <v>226</v>
      </c>
      <c r="C449" s="19" t="s">
        <v>12</v>
      </c>
      <c r="D449" s="21" t="s">
        <v>13</v>
      </c>
      <c r="E449" s="19" t="s">
        <v>85</v>
      </c>
      <c r="F449" s="19" t="s">
        <v>227</v>
      </c>
      <c r="G449" s="19" t="s">
        <v>211</v>
      </c>
      <c r="H449" s="19" t="s">
        <v>228</v>
      </c>
      <c r="I449" s="19"/>
      <c r="J449" s="19" t="s">
        <v>18</v>
      </c>
      <c r="K449" s="19" t="s">
        <v>18</v>
      </c>
      <c r="L449" s="19" t="s">
        <v>19</v>
      </c>
      <c r="M449" s="19" t="s">
        <v>19</v>
      </c>
      <c r="N449" s="19" t="s">
        <v>18</v>
      </c>
      <c r="O449" s="19" t="s">
        <v>19</v>
      </c>
      <c r="P449" s="19">
        <v>101.55972199999999</v>
      </c>
      <c r="Q449" s="19">
        <v>3.1672220000000002</v>
      </c>
      <c r="R449" s="19"/>
      <c r="S449" s="19" t="s">
        <v>20</v>
      </c>
    </row>
    <row r="450" spans="1:19" hidden="1" x14ac:dyDescent="0.25">
      <c r="A450" s="28">
        <v>3115080</v>
      </c>
      <c r="B450" s="15" t="s">
        <v>229</v>
      </c>
      <c r="C450" s="19" t="s">
        <v>12</v>
      </c>
      <c r="D450" s="21" t="s">
        <v>13</v>
      </c>
      <c r="E450" s="19" t="s">
        <v>85</v>
      </c>
      <c r="F450" s="19" t="s">
        <v>210</v>
      </c>
      <c r="G450" s="19" t="s">
        <v>210</v>
      </c>
      <c r="H450" s="19"/>
      <c r="I450" s="19"/>
      <c r="J450" s="19" t="s">
        <v>19</v>
      </c>
      <c r="K450" s="19" t="s">
        <v>18</v>
      </c>
      <c r="L450" s="19" t="s">
        <v>19</v>
      </c>
      <c r="M450" s="19" t="s">
        <v>18</v>
      </c>
      <c r="N450" s="19" t="s">
        <v>19</v>
      </c>
      <c r="O450" s="19" t="s">
        <v>19</v>
      </c>
      <c r="P450" s="19">
        <v>101.38211099999999</v>
      </c>
      <c r="Q450" s="19">
        <v>3.1965279999999998</v>
      </c>
      <c r="R450" s="19"/>
      <c r="S450" s="19"/>
    </row>
    <row r="451" spans="1:19" hidden="1" x14ac:dyDescent="0.25">
      <c r="A451" s="28">
        <v>3115081</v>
      </c>
      <c r="B451" s="15" t="s">
        <v>230</v>
      </c>
      <c r="C451" s="19" t="s">
        <v>12</v>
      </c>
      <c r="D451" s="21" t="s">
        <v>13</v>
      </c>
      <c r="E451" s="19" t="s">
        <v>85</v>
      </c>
      <c r="F451" s="19" t="s">
        <v>108</v>
      </c>
      <c r="G451" s="19" t="s">
        <v>78</v>
      </c>
      <c r="H451" s="19"/>
      <c r="I451" s="19"/>
      <c r="J451" s="19" t="s">
        <v>18</v>
      </c>
      <c r="K451" s="19" t="s">
        <v>18</v>
      </c>
      <c r="L451" s="19" t="s">
        <v>19</v>
      </c>
      <c r="M451" s="19" t="s">
        <v>19</v>
      </c>
      <c r="N451" s="19" t="s">
        <v>18</v>
      </c>
      <c r="O451" s="19" t="s">
        <v>19</v>
      </c>
      <c r="P451" s="19">
        <v>101.56361099999999</v>
      </c>
      <c r="Q451" s="19">
        <v>3.105</v>
      </c>
      <c r="R451" s="19"/>
      <c r="S451" s="19"/>
    </row>
    <row r="452" spans="1:19" hidden="1" x14ac:dyDescent="0.25">
      <c r="A452" s="28">
        <v>3115081</v>
      </c>
      <c r="B452" s="15" t="s">
        <v>231</v>
      </c>
      <c r="C452" s="19" t="s">
        <v>12</v>
      </c>
      <c r="D452" s="21" t="s">
        <v>13</v>
      </c>
      <c r="E452" s="19" t="s">
        <v>85</v>
      </c>
      <c r="F452" s="19" t="s">
        <v>108</v>
      </c>
      <c r="G452" s="19" t="s">
        <v>78</v>
      </c>
      <c r="H452" s="19"/>
      <c r="I452" s="19"/>
      <c r="J452" s="19" t="s">
        <v>19</v>
      </c>
      <c r="K452" s="19" t="s">
        <v>18</v>
      </c>
      <c r="L452" s="19" t="s">
        <v>19</v>
      </c>
      <c r="M452" s="19" t="s">
        <v>18</v>
      </c>
      <c r="N452" s="19" t="s">
        <v>19</v>
      </c>
      <c r="O452" s="19" t="s">
        <v>19</v>
      </c>
      <c r="P452" s="19">
        <v>101.540944</v>
      </c>
      <c r="Q452" s="19">
        <v>3.1500560000000002</v>
      </c>
      <c r="R452" s="19"/>
      <c r="S452" s="19"/>
    </row>
    <row r="453" spans="1:19" hidden="1" x14ac:dyDescent="0.25">
      <c r="A453" s="28">
        <v>3115082</v>
      </c>
      <c r="B453" s="15" t="s">
        <v>232</v>
      </c>
      <c r="C453" s="19" t="s">
        <v>12</v>
      </c>
      <c r="D453" s="21" t="s">
        <v>13</v>
      </c>
      <c r="E453" s="19" t="s">
        <v>85</v>
      </c>
      <c r="F453" s="19" t="s">
        <v>160</v>
      </c>
      <c r="G453" s="19" t="s">
        <v>78</v>
      </c>
      <c r="H453" s="19"/>
      <c r="I453" s="19"/>
      <c r="J453" s="19" t="s">
        <v>18</v>
      </c>
      <c r="K453" s="19" t="s">
        <v>18</v>
      </c>
      <c r="L453" s="19" t="s">
        <v>19</v>
      </c>
      <c r="M453" s="19" t="s">
        <v>19</v>
      </c>
      <c r="N453" s="19" t="s">
        <v>18</v>
      </c>
      <c r="O453" s="19" t="s">
        <v>19</v>
      </c>
      <c r="P453" s="19">
        <v>101.583056</v>
      </c>
      <c r="Q453" s="19">
        <v>3.1608329999999998</v>
      </c>
      <c r="R453" s="19"/>
      <c r="S453" s="19"/>
    </row>
    <row r="454" spans="1:19" hidden="1" x14ac:dyDescent="0.25">
      <c r="A454" s="28">
        <v>3115082</v>
      </c>
      <c r="B454" s="15" t="s">
        <v>233</v>
      </c>
      <c r="C454" s="19" t="s">
        <v>12</v>
      </c>
      <c r="D454" s="21" t="s">
        <v>13</v>
      </c>
      <c r="E454" s="19" t="s">
        <v>85</v>
      </c>
      <c r="F454" s="19" t="s">
        <v>160</v>
      </c>
      <c r="G454" s="19" t="s">
        <v>78</v>
      </c>
      <c r="H454" s="19"/>
      <c r="I454" s="19"/>
      <c r="J454" s="19" t="s">
        <v>19</v>
      </c>
      <c r="K454" s="19" t="s">
        <v>18</v>
      </c>
      <c r="L454" s="19" t="s">
        <v>19</v>
      </c>
      <c r="M454" s="19" t="s">
        <v>18</v>
      </c>
      <c r="N454" s="19" t="s">
        <v>19</v>
      </c>
      <c r="O454" s="19" t="s">
        <v>19</v>
      </c>
      <c r="P454" s="19">
        <v>101.59644400000001</v>
      </c>
      <c r="Q454" s="19">
        <v>3.1122779999999999</v>
      </c>
      <c r="R454" s="19"/>
      <c r="S454" s="19"/>
    </row>
    <row r="455" spans="1:19" hidden="1" x14ac:dyDescent="0.25">
      <c r="A455" s="28">
        <v>3116001</v>
      </c>
      <c r="B455" s="15" t="s">
        <v>234</v>
      </c>
      <c r="C455" s="19" t="s">
        <v>12</v>
      </c>
      <c r="D455" s="21" t="s">
        <v>13</v>
      </c>
      <c r="E455" s="19" t="s">
        <v>157</v>
      </c>
      <c r="F455" s="19"/>
      <c r="G455" s="19" t="s">
        <v>69</v>
      </c>
      <c r="H455" s="19" t="s">
        <v>235</v>
      </c>
      <c r="I455" s="19"/>
      <c r="J455" s="19" t="s">
        <v>19</v>
      </c>
      <c r="K455" s="19" t="s">
        <v>18</v>
      </c>
      <c r="L455" s="19" t="s">
        <v>18</v>
      </c>
      <c r="M455" s="19" t="s">
        <v>19</v>
      </c>
      <c r="N455" s="19" t="s">
        <v>18</v>
      </c>
      <c r="O455" s="19" t="s">
        <v>19</v>
      </c>
      <c r="P455" s="19">
        <v>101.64444399999999</v>
      </c>
      <c r="Q455" s="19">
        <v>3.1013890000000002</v>
      </c>
      <c r="R455" s="19"/>
      <c r="S455" s="19" t="s">
        <v>221</v>
      </c>
    </row>
    <row r="456" spans="1:19" hidden="1" x14ac:dyDescent="0.25">
      <c r="A456" s="29">
        <v>3116002</v>
      </c>
      <c r="B456" s="25" t="s">
        <v>1186</v>
      </c>
      <c r="C456" s="26" t="s">
        <v>12</v>
      </c>
      <c r="D456" s="24" t="s">
        <v>157</v>
      </c>
      <c r="E456" s="26" t="s">
        <v>157</v>
      </c>
      <c r="F456" s="26"/>
      <c r="G456" s="26"/>
      <c r="H456" s="26" t="s">
        <v>288</v>
      </c>
      <c r="I456" s="26" t="s">
        <v>1187</v>
      </c>
      <c r="J456" s="26" t="s">
        <v>19</v>
      </c>
      <c r="K456" s="26" t="s">
        <v>19</v>
      </c>
      <c r="L456" s="26" t="s">
        <v>19</v>
      </c>
      <c r="M456" s="26" t="s">
        <v>19</v>
      </c>
      <c r="N456" s="26" t="s">
        <v>18</v>
      </c>
      <c r="O456" s="26" t="s">
        <v>19</v>
      </c>
      <c r="P456" s="26">
        <v>101.697222</v>
      </c>
      <c r="Q456" s="26">
        <v>3.144444</v>
      </c>
      <c r="R456" s="26"/>
      <c r="S456" s="26" t="s">
        <v>41</v>
      </c>
    </row>
    <row r="457" spans="1:19" hidden="1" x14ac:dyDescent="0.25">
      <c r="A457" s="29">
        <v>3116003</v>
      </c>
      <c r="B457" s="25" t="s">
        <v>1188</v>
      </c>
      <c r="C457" s="26" t="s">
        <v>12</v>
      </c>
      <c r="D457" s="24" t="s">
        <v>157</v>
      </c>
      <c r="E457" s="26" t="s">
        <v>157</v>
      </c>
      <c r="F457" s="26" t="s">
        <v>78</v>
      </c>
      <c r="G457" s="26" t="s">
        <v>78</v>
      </c>
      <c r="H457" s="26" t="s">
        <v>933</v>
      </c>
      <c r="I457" s="26"/>
      <c r="J457" s="26" t="s">
        <v>18</v>
      </c>
      <c r="K457" s="26" t="s">
        <v>18</v>
      </c>
      <c r="L457" s="26" t="s">
        <v>19</v>
      </c>
      <c r="M457" s="26" t="s">
        <v>19</v>
      </c>
      <c r="N457" s="26" t="s">
        <v>18</v>
      </c>
      <c r="O457" s="26" t="s">
        <v>19</v>
      </c>
      <c r="P457" s="26">
        <v>101.68472199999999</v>
      </c>
      <c r="Q457" s="26">
        <v>3.151389</v>
      </c>
      <c r="R457" s="26"/>
      <c r="S457" s="26" t="s">
        <v>41</v>
      </c>
    </row>
    <row r="458" spans="1:19" hidden="1" x14ac:dyDescent="0.25">
      <c r="A458" s="29">
        <v>3116004</v>
      </c>
      <c r="B458" s="25" t="s">
        <v>1189</v>
      </c>
      <c r="C458" s="26" t="s">
        <v>12</v>
      </c>
      <c r="D458" s="24" t="s">
        <v>157</v>
      </c>
      <c r="E458" s="26" t="s">
        <v>157</v>
      </c>
      <c r="F458" s="26" t="s">
        <v>78</v>
      </c>
      <c r="G458" s="26" t="s">
        <v>78</v>
      </c>
      <c r="H458" s="26"/>
      <c r="I458" s="26"/>
      <c r="J458" s="26" t="s">
        <v>19</v>
      </c>
      <c r="K458" s="26" t="s">
        <v>18</v>
      </c>
      <c r="L458" s="26" t="s">
        <v>19</v>
      </c>
      <c r="M458" s="26" t="s">
        <v>18</v>
      </c>
      <c r="N458" s="26" t="s">
        <v>19</v>
      </c>
      <c r="O458" s="26" t="s">
        <v>19</v>
      </c>
      <c r="P458" s="26">
        <v>101.6875</v>
      </c>
      <c r="Q458" s="26">
        <v>3.1472220000000002</v>
      </c>
      <c r="R458" s="26"/>
      <c r="S458" s="26"/>
    </row>
    <row r="459" spans="1:19" hidden="1" x14ac:dyDescent="0.25">
      <c r="A459" s="29">
        <v>3116004</v>
      </c>
      <c r="B459" s="25" t="s">
        <v>1190</v>
      </c>
      <c r="C459" s="26" t="s">
        <v>12</v>
      </c>
      <c r="D459" s="24" t="s">
        <v>157</v>
      </c>
      <c r="E459" s="26" t="s">
        <v>157</v>
      </c>
      <c r="F459" s="26" t="s">
        <v>78</v>
      </c>
      <c r="G459" s="26" t="s">
        <v>78</v>
      </c>
      <c r="H459" s="26" t="s">
        <v>91</v>
      </c>
      <c r="I459" s="26" t="s">
        <v>1191</v>
      </c>
      <c r="J459" s="26" t="s">
        <v>19</v>
      </c>
      <c r="K459" s="26" t="s">
        <v>19</v>
      </c>
      <c r="L459" s="26" t="s">
        <v>19</v>
      </c>
      <c r="M459" s="26" t="s">
        <v>19</v>
      </c>
      <c r="N459" s="26" t="s">
        <v>18</v>
      </c>
      <c r="O459" s="26" t="s">
        <v>19</v>
      </c>
      <c r="P459" s="26">
        <v>101.681944</v>
      </c>
      <c r="Q459" s="26">
        <v>3.1555559999999998</v>
      </c>
      <c r="R459" s="26"/>
      <c r="S459" s="26" t="s">
        <v>41</v>
      </c>
    </row>
    <row r="460" spans="1:19" hidden="1" x14ac:dyDescent="0.25">
      <c r="A460" s="29">
        <v>3116005</v>
      </c>
      <c r="B460" s="25" t="s">
        <v>1192</v>
      </c>
      <c r="C460" s="26" t="s">
        <v>12</v>
      </c>
      <c r="D460" s="24" t="s">
        <v>157</v>
      </c>
      <c r="E460" s="26" t="s">
        <v>157</v>
      </c>
      <c r="F460" s="26"/>
      <c r="G460" s="26"/>
      <c r="H460" s="26" t="s">
        <v>530</v>
      </c>
      <c r="I460" s="26" t="s">
        <v>1193</v>
      </c>
      <c r="J460" s="26" t="s">
        <v>19</v>
      </c>
      <c r="K460" s="26" t="s">
        <v>19</v>
      </c>
      <c r="L460" s="26" t="s">
        <v>19</v>
      </c>
      <c r="M460" s="26" t="s">
        <v>19</v>
      </c>
      <c r="N460" s="26" t="s">
        <v>18</v>
      </c>
      <c r="O460" s="26" t="s">
        <v>19</v>
      </c>
      <c r="P460" s="26">
        <v>101.636111</v>
      </c>
      <c r="Q460" s="26">
        <v>3.197222</v>
      </c>
      <c r="R460" s="26"/>
      <c r="S460" s="26" t="s">
        <v>41</v>
      </c>
    </row>
    <row r="461" spans="1:19" hidden="1" x14ac:dyDescent="0.25">
      <c r="A461" s="29">
        <v>3116006</v>
      </c>
      <c r="B461" s="25" t="s">
        <v>1194</v>
      </c>
      <c r="C461" s="26" t="s">
        <v>12</v>
      </c>
      <c r="D461" s="24" t="s">
        <v>157</v>
      </c>
      <c r="E461" s="26" t="s">
        <v>157</v>
      </c>
      <c r="F461" s="26" t="s">
        <v>1195</v>
      </c>
      <c r="G461" s="26" t="s">
        <v>1195</v>
      </c>
      <c r="H461" s="26" t="s">
        <v>530</v>
      </c>
      <c r="I461" s="26"/>
      <c r="J461" s="26" t="s">
        <v>18</v>
      </c>
      <c r="K461" s="26" t="s">
        <v>18</v>
      </c>
      <c r="L461" s="26" t="s">
        <v>19</v>
      </c>
      <c r="M461" s="26" t="s">
        <v>18</v>
      </c>
      <c r="N461" s="26" t="s">
        <v>18</v>
      </c>
      <c r="O461" s="26" t="s">
        <v>19</v>
      </c>
      <c r="P461" s="26">
        <v>101.63333299999999</v>
      </c>
      <c r="Q461" s="26">
        <v>3.1833330000000002</v>
      </c>
      <c r="R461" s="26"/>
      <c r="S461" s="26" t="s">
        <v>41</v>
      </c>
    </row>
    <row r="462" spans="1:19" hidden="1" x14ac:dyDescent="0.25">
      <c r="A462" s="29">
        <v>3116007</v>
      </c>
      <c r="B462" s="25" t="s">
        <v>1196</v>
      </c>
      <c r="C462" s="26" t="s">
        <v>12</v>
      </c>
      <c r="D462" s="24" t="s">
        <v>157</v>
      </c>
      <c r="E462" s="26" t="s">
        <v>157</v>
      </c>
      <c r="F462" s="26"/>
      <c r="G462" s="26"/>
      <c r="H462" s="26" t="s">
        <v>1197</v>
      </c>
      <c r="I462" s="26" t="s">
        <v>732</v>
      </c>
      <c r="J462" s="26" t="s">
        <v>19</v>
      </c>
      <c r="K462" s="26" t="s">
        <v>19</v>
      </c>
      <c r="L462" s="26" t="s">
        <v>19</v>
      </c>
      <c r="M462" s="26" t="s">
        <v>19</v>
      </c>
      <c r="N462" s="26" t="s">
        <v>18</v>
      </c>
      <c r="O462" s="26" t="s">
        <v>19</v>
      </c>
      <c r="P462" s="26">
        <v>101.694444</v>
      </c>
      <c r="Q462" s="26">
        <v>3.141667</v>
      </c>
      <c r="R462" s="26"/>
      <c r="S462" s="26" t="s">
        <v>41</v>
      </c>
    </row>
    <row r="463" spans="1:19" hidden="1" x14ac:dyDescent="0.25">
      <c r="A463" s="29">
        <v>3116072</v>
      </c>
      <c r="B463" s="25" t="s">
        <v>1198</v>
      </c>
      <c r="C463" s="26" t="s">
        <v>12</v>
      </c>
      <c r="D463" s="24" t="s">
        <v>157</v>
      </c>
      <c r="E463" s="26" t="s">
        <v>157</v>
      </c>
      <c r="F463" s="26"/>
      <c r="G463" s="26"/>
      <c r="H463" s="26" t="s">
        <v>1199</v>
      </c>
      <c r="I463" s="26" t="s">
        <v>293</v>
      </c>
      <c r="J463" s="26" t="s">
        <v>19</v>
      </c>
      <c r="K463" s="26" t="s">
        <v>19</v>
      </c>
      <c r="L463" s="26" t="s">
        <v>18</v>
      </c>
      <c r="M463" s="26" t="s">
        <v>19</v>
      </c>
      <c r="N463" s="26" t="s">
        <v>19</v>
      </c>
      <c r="O463" s="26" t="s">
        <v>19</v>
      </c>
      <c r="P463" s="26">
        <v>101.691667</v>
      </c>
      <c r="Q463" s="26">
        <v>3.144444</v>
      </c>
      <c r="R463" s="26"/>
      <c r="S463" s="26" t="s">
        <v>41</v>
      </c>
    </row>
    <row r="464" spans="1:19" hidden="1" x14ac:dyDescent="0.25">
      <c r="A464" s="29">
        <v>3116073</v>
      </c>
      <c r="B464" s="25" t="s">
        <v>1200</v>
      </c>
      <c r="C464" s="26" t="s">
        <v>12</v>
      </c>
      <c r="D464" s="24" t="s">
        <v>157</v>
      </c>
      <c r="E464" s="26" t="s">
        <v>157</v>
      </c>
      <c r="F464" s="26"/>
      <c r="G464" s="26"/>
      <c r="H464" s="26" t="s">
        <v>1201</v>
      </c>
      <c r="I464" s="26" t="s">
        <v>1202</v>
      </c>
      <c r="J464" s="26" t="s">
        <v>19</v>
      </c>
      <c r="K464" s="26" t="s">
        <v>19</v>
      </c>
      <c r="L464" s="26" t="s">
        <v>18</v>
      </c>
      <c r="M464" s="26" t="s">
        <v>19</v>
      </c>
      <c r="N464" s="26" t="s">
        <v>19</v>
      </c>
      <c r="O464" s="26" t="s">
        <v>19</v>
      </c>
      <c r="P464" s="26">
        <v>101.658333</v>
      </c>
      <c r="Q464" s="26">
        <v>3.1402779999999999</v>
      </c>
      <c r="R464" s="26"/>
      <c r="S464" s="26" t="s">
        <v>41</v>
      </c>
    </row>
    <row r="465" spans="1:19" hidden="1" x14ac:dyDescent="0.25">
      <c r="A465" s="29">
        <v>3116074</v>
      </c>
      <c r="B465" s="25" t="s">
        <v>1203</v>
      </c>
      <c r="C465" s="26" t="s">
        <v>12</v>
      </c>
      <c r="D465" s="24" t="s">
        <v>157</v>
      </c>
      <c r="E465" s="26" t="s">
        <v>157</v>
      </c>
      <c r="F465" s="26" t="s">
        <v>78</v>
      </c>
      <c r="G465" s="26" t="s">
        <v>78</v>
      </c>
      <c r="H465" s="26"/>
      <c r="I465" s="26"/>
      <c r="J465" s="26" t="s">
        <v>19</v>
      </c>
      <c r="K465" s="26" t="s">
        <v>18</v>
      </c>
      <c r="L465" s="26" t="s">
        <v>19</v>
      </c>
      <c r="M465" s="26" t="s">
        <v>18</v>
      </c>
      <c r="N465" s="26" t="s">
        <v>19</v>
      </c>
      <c r="O465" s="26" t="s">
        <v>19</v>
      </c>
      <c r="P465" s="26">
        <v>101.696583</v>
      </c>
      <c r="Q465" s="26">
        <v>3.1125829999999999</v>
      </c>
      <c r="R465" s="26"/>
      <c r="S465" s="26"/>
    </row>
    <row r="466" spans="1:19" hidden="1" x14ac:dyDescent="0.25">
      <c r="A466" s="29">
        <v>3116100</v>
      </c>
      <c r="B466" s="25" t="s">
        <v>1204</v>
      </c>
      <c r="C466" s="26" t="s">
        <v>12</v>
      </c>
      <c r="D466" s="24" t="s">
        <v>157</v>
      </c>
      <c r="E466" s="26" t="s">
        <v>157</v>
      </c>
      <c r="F466" s="26" t="s">
        <v>1205</v>
      </c>
      <c r="G466" s="26" t="s">
        <v>1205</v>
      </c>
      <c r="H466" s="26"/>
      <c r="I466" s="26"/>
      <c r="J466" s="26" t="s">
        <v>19</v>
      </c>
      <c r="K466" s="26" t="s">
        <v>18</v>
      </c>
      <c r="L466" s="26" t="s">
        <v>19</v>
      </c>
      <c r="M466" s="26" t="s">
        <v>18</v>
      </c>
      <c r="N466" s="26" t="s">
        <v>19</v>
      </c>
      <c r="O466" s="26" t="s">
        <v>19</v>
      </c>
      <c r="P466" s="26">
        <v>101.679194</v>
      </c>
      <c r="Q466" s="26">
        <v>3.095917</v>
      </c>
      <c r="R466" s="26"/>
      <c r="S466" s="26"/>
    </row>
    <row r="467" spans="1:19" hidden="1" x14ac:dyDescent="0.25">
      <c r="A467" s="28">
        <v>3117001</v>
      </c>
      <c r="B467" s="15" t="s">
        <v>236</v>
      </c>
      <c r="C467" s="19" t="s">
        <v>12</v>
      </c>
      <c r="D467" s="21" t="s">
        <v>13</v>
      </c>
      <c r="E467" s="19" t="s">
        <v>157</v>
      </c>
      <c r="F467" s="19"/>
      <c r="G467" s="19" t="s">
        <v>69</v>
      </c>
      <c r="H467" s="19" t="s">
        <v>237</v>
      </c>
      <c r="I467" s="19" t="s">
        <v>152</v>
      </c>
      <c r="J467" s="19" t="s">
        <v>19</v>
      </c>
      <c r="K467" s="19" t="s">
        <v>19</v>
      </c>
      <c r="L467" s="19" t="s">
        <v>19</v>
      </c>
      <c r="M467" s="19" t="s">
        <v>19</v>
      </c>
      <c r="N467" s="19" t="s">
        <v>19</v>
      </c>
      <c r="O467" s="19" t="s">
        <v>19</v>
      </c>
      <c r="P467" s="19">
        <v>101.779167</v>
      </c>
      <c r="Q467" s="19">
        <v>3.1666669999999999</v>
      </c>
      <c r="R467" s="19"/>
      <c r="S467" s="19" t="s">
        <v>41</v>
      </c>
    </row>
    <row r="468" spans="1:19" hidden="1" x14ac:dyDescent="0.25">
      <c r="A468" s="29">
        <v>3117003</v>
      </c>
      <c r="B468" s="25" t="s">
        <v>1206</v>
      </c>
      <c r="C468" s="26" t="s">
        <v>12</v>
      </c>
      <c r="D468" s="24" t="s">
        <v>157</v>
      </c>
      <c r="E468" s="26" t="s">
        <v>157</v>
      </c>
      <c r="F468" s="26" t="s">
        <v>1205</v>
      </c>
      <c r="G468" s="26" t="s">
        <v>1205</v>
      </c>
      <c r="H468" s="26"/>
      <c r="I468" s="26"/>
      <c r="J468" s="26" t="s">
        <v>19</v>
      </c>
      <c r="K468" s="26" t="s">
        <v>18</v>
      </c>
      <c r="L468" s="26" t="s">
        <v>19</v>
      </c>
      <c r="M468" s="26" t="s">
        <v>18</v>
      </c>
      <c r="N468" s="26" t="s">
        <v>19</v>
      </c>
      <c r="O468" s="26" t="s">
        <v>19</v>
      </c>
      <c r="P468" s="26">
        <v>101.752639</v>
      </c>
      <c r="Q468" s="26">
        <v>3.1273610000000001</v>
      </c>
      <c r="R468" s="26"/>
      <c r="S468" s="26"/>
    </row>
    <row r="469" spans="1:19" hidden="1" x14ac:dyDescent="0.25">
      <c r="A469" s="29">
        <v>3117005</v>
      </c>
      <c r="B469" s="25" t="s">
        <v>1207</v>
      </c>
      <c r="C469" s="26" t="s">
        <v>12</v>
      </c>
      <c r="D469" s="24" t="s">
        <v>157</v>
      </c>
      <c r="E469" s="26" t="s">
        <v>157</v>
      </c>
      <c r="F469" s="26" t="s">
        <v>1208</v>
      </c>
      <c r="G469" s="26" t="s">
        <v>1208</v>
      </c>
      <c r="H469" s="26"/>
      <c r="I469" s="26"/>
      <c r="J469" s="26" t="s">
        <v>19</v>
      </c>
      <c r="K469" s="26" t="s">
        <v>18</v>
      </c>
      <c r="L469" s="26" t="s">
        <v>19</v>
      </c>
      <c r="M469" s="26" t="s">
        <v>18</v>
      </c>
      <c r="N469" s="26" t="s">
        <v>19</v>
      </c>
      <c r="O469" s="26" t="s">
        <v>19</v>
      </c>
      <c r="P469" s="26">
        <v>101.72236100000001</v>
      </c>
      <c r="Q469" s="26">
        <v>3.1886670000000001</v>
      </c>
      <c r="R469" s="26"/>
      <c r="S469" s="26"/>
    </row>
    <row r="470" spans="1:19" hidden="1" x14ac:dyDescent="0.25">
      <c r="A470" s="29">
        <v>3117006</v>
      </c>
      <c r="B470" s="25" t="s">
        <v>1209</v>
      </c>
      <c r="C470" s="26" t="s">
        <v>12</v>
      </c>
      <c r="D470" s="24" t="s">
        <v>157</v>
      </c>
      <c r="E470" s="26" t="s">
        <v>157</v>
      </c>
      <c r="F470" s="26"/>
      <c r="G470" s="26"/>
      <c r="H470" s="26"/>
      <c r="I470" s="26"/>
      <c r="J470" s="26" t="s">
        <v>19</v>
      </c>
      <c r="K470" s="26" t="s">
        <v>18</v>
      </c>
      <c r="L470" s="26" t="s">
        <v>19</v>
      </c>
      <c r="M470" s="26" t="s">
        <v>19</v>
      </c>
      <c r="N470" s="26" t="s">
        <v>19</v>
      </c>
      <c r="O470" s="26" t="s">
        <v>19</v>
      </c>
      <c r="P470" s="26">
        <v>101.683333</v>
      </c>
      <c r="Q470" s="26">
        <v>3.22</v>
      </c>
      <c r="R470" s="26"/>
      <c r="S470" s="26"/>
    </row>
    <row r="471" spans="1:19" hidden="1" x14ac:dyDescent="0.25">
      <c r="A471" s="29">
        <v>3117066</v>
      </c>
      <c r="B471" s="25" t="s">
        <v>1210</v>
      </c>
      <c r="C471" s="26" t="s">
        <v>12</v>
      </c>
      <c r="D471" s="24" t="s">
        <v>157</v>
      </c>
      <c r="E471" s="26" t="s">
        <v>157</v>
      </c>
      <c r="F471" s="26"/>
      <c r="G471" s="26"/>
      <c r="H471" s="26" t="s">
        <v>962</v>
      </c>
      <c r="I471" s="26" t="s">
        <v>318</v>
      </c>
      <c r="J471" s="26" t="s">
        <v>19</v>
      </c>
      <c r="K471" s="26" t="s">
        <v>19</v>
      </c>
      <c r="L471" s="26" t="s">
        <v>18</v>
      </c>
      <c r="M471" s="26" t="s">
        <v>19</v>
      </c>
      <c r="N471" s="26" t="s">
        <v>19</v>
      </c>
      <c r="O471" s="26" t="s">
        <v>19</v>
      </c>
      <c r="P471" s="26">
        <v>101.70138900000001</v>
      </c>
      <c r="Q471" s="26">
        <v>3.1736110000000002</v>
      </c>
      <c r="R471" s="26"/>
      <c r="S471" s="26" t="s">
        <v>279</v>
      </c>
    </row>
    <row r="472" spans="1:19" hidden="1" x14ac:dyDescent="0.25">
      <c r="A472" s="29">
        <v>3117070</v>
      </c>
      <c r="B472" s="25" t="s">
        <v>1211</v>
      </c>
      <c r="C472" s="26" t="s">
        <v>12</v>
      </c>
      <c r="D472" s="24" t="s">
        <v>157</v>
      </c>
      <c r="E472" s="26" t="s">
        <v>157</v>
      </c>
      <c r="F472" s="26"/>
      <c r="G472" s="26"/>
      <c r="H472" s="26"/>
      <c r="I472" s="26"/>
      <c r="J472" s="26" t="s">
        <v>19</v>
      </c>
      <c r="K472" s="26" t="s">
        <v>18</v>
      </c>
      <c r="L472" s="26" t="s">
        <v>19</v>
      </c>
      <c r="M472" s="26" t="s">
        <v>18</v>
      </c>
      <c r="N472" s="26" t="s">
        <v>19</v>
      </c>
      <c r="O472" s="26" t="s">
        <v>19</v>
      </c>
      <c r="P472" s="26">
        <v>101.74888900000001</v>
      </c>
      <c r="Q472" s="26">
        <v>3.1530559999999999</v>
      </c>
      <c r="R472" s="26"/>
      <c r="S472" s="26"/>
    </row>
    <row r="473" spans="1:19" hidden="1" x14ac:dyDescent="0.25">
      <c r="A473" s="29">
        <v>3117071</v>
      </c>
      <c r="B473" s="25" t="s">
        <v>1212</v>
      </c>
      <c r="C473" s="26" t="s">
        <v>12</v>
      </c>
      <c r="D473" s="24" t="s">
        <v>157</v>
      </c>
      <c r="E473" s="26" t="s">
        <v>157</v>
      </c>
      <c r="F473" s="26"/>
      <c r="G473" s="26"/>
      <c r="H473" s="26" t="s">
        <v>145</v>
      </c>
      <c r="I473" s="26" t="s">
        <v>1213</v>
      </c>
      <c r="J473" s="26" t="s">
        <v>19</v>
      </c>
      <c r="K473" s="26" t="s">
        <v>19</v>
      </c>
      <c r="L473" s="26" t="s">
        <v>18</v>
      </c>
      <c r="M473" s="26" t="s">
        <v>19</v>
      </c>
      <c r="N473" s="26" t="s">
        <v>19</v>
      </c>
      <c r="O473" s="26" t="s">
        <v>19</v>
      </c>
      <c r="P473" s="26">
        <v>101.70694399999999</v>
      </c>
      <c r="Q473" s="26">
        <v>3.151389</v>
      </c>
      <c r="R473" s="26"/>
      <c r="S473" s="26" t="s">
        <v>164</v>
      </c>
    </row>
    <row r="474" spans="1:19" hidden="1" x14ac:dyDescent="0.25">
      <c r="A474" s="28">
        <v>3117080</v>
      </c>
      <c r="B474" s="15" t="s">
        <v>238</v>
      </c>
      <c r="C474" s="19" t="s">
        <v>12</v>
      </c>
      <c r="D474" s="21" t="s">
        <v>13</v>
      </c>
      <c r="E474" s="19" t="s">
        <v>1859</v>
      </c>
      <c r="F474" s="19" t="s">
        <v>86</v>
      </c>
      <c r="G474" s="19" t="s">
        <v>43</v>
      </c>
      <c r="H474" s="19"/>
      <c r="I474" s="19"/>
      <c r="J474" s="19" t="s">
        <v>19</v>
      </c>
      <c r="K474" s="19" t="s">
        <v>18</v>
      </c>
      <c r="L474" s="19" t="s">
        <v>19</v>
      </c>
      <c r="M474" s="19" t="s">
        <v>18</v>
      </c>
      <c r="N474" s="19" t="s">
        <v>19</v>
      </c>
      <c r="O474" s="19" t="s">
        <v>19</v>
      </c>
      <c r="P474" s="19">
        <v>101.772694</v>
      </c>
      <c r="Q474" s="19">
        <v>3.183694</v>
      </c>
      <c r="R474" s="19"/>
      <c r="S474" s="19"/>
    </row>
    <row r="475" spans="1:19" hidden="1" x14ac:dyDescent="0.25">
      <c r="A475" s="29">
        <v>3117101</v>
      </c>
      <c r="B475" s="25" t="s">
        <v>1214</v>
      </c>
      <c r="C475" s="26" t="s">
        <v>12</v>
      </c>
      <c r="D475" s="24" t="s">
        <v>157</v>
      </c>
      <c r="E475" s="26" t="s">
        <v>157</v>
      </c>
      <c r="F475" s="26"/>
      <c r="G475" s="26"/>
      <c r="H475" s="26"/>
      <c r="I475" s="26"/>
      <c r="J475" s="26" t="s">
        <v>19</v>
      </c>
      <c r="K475" s="26" t="s">
        <v>18</v>
      </c>
      <c r="L475" s="26" t="s">
        <v>19</v>
      </c>
      <c r="M475" s="26" t="s">
        <v>19</v>
      </c>
      <c r="N475" s="26" t="s">
        <v>18</v>
      </c>
      <c r="O475" s="26" t="s">
        <v>19</v>
      </c>
      <c r="P475" s="26">
        <v>101.745728</v>
      </c>
      <c r="Q475" s="26">
        <v>3.1098720000000002</v>
      </c>
      <c r="R475" s="26"/>
      <c r="S475" s="26"/>
    </row>
    <row r="476" spans="1:19" hidden="1" x14ac:dyDescent="0.25">
      <c r="A476" s="29">
        <v>3117102</v>
      </c>
      <c r="B476" s="25" t="s">
        <v>1215</v>
      </c>
      <c r="C476" s="26" t="s">
        <v>12</v>
      </c>
      <c r="D476" s="24" t="s">
        <v>157</v>
      </c>
      <c r="E476" s="26" t="s">
        <v>157</v>
      </c>
      <c r="F476" s="26"/>
      <c r="G476" s="26"/>
      <c r="H476" s="26"/>
      <c r="I476" s="26"/>
      <c r="J476" s="26" t="s">
        <v>19</v>
      </c>
      <c r="K476" s="26" t="s">
        <v>18</v>
      </c>
      <c r="L476" s="26" t="s">
        <v>19</v>
      </c>
      <c r="M476" s="26" t="s">
        <v>19</v>
      </c>
      <c r="N476" s="26" t="s">
        <v>18</v>
      </c>
      <c r="O476" s="26" t="s">
        <v>19</v>
      </c>
      <c r="P476" s="26">
        <v>101.72238299999999</v>
      </c>
      <c r="Q476" s="26">
        <v>3.1196169999999999</v>
      </c>
      <c r="R476" s="26"/>
      <c r="S476" s="26"/>
    </row>
    <row r="477" spans="1:19" hidden="1" x14ac:dyDescent="0.25">
      <c r="A477" s="29">
        <v>3117104</v>
      </c>
      <c r="B477" s="25" t="s">
        <v>1216</v>
      </c>
      <c r="C477" s="26" t="s">
        <v>12</v>
      </c>
      <c r="D477" s="24" t="s">
        <v>157</v>
      </c>
      <c r="E477" s="26" t="s">
        <v>157</v>
      </c>
      <c r="F477" s="26"/>
      <c r="G477" s="26"/>
      <c r="H477" s="26"/>
      <c r="I477" s="26"/>
      <c r="J477" s="26" t="s">
        <v>19</v>
      </c>
      <c r="K477" s="26" t="s">
        <v>18</v>
      </c>
      <c r="L477" s="26" t="s">
        <v>19</v>
      </c>
      <c r="M477" s="26" t="s">
        <v>19</v>
      </c>
      <c r="N477" s="26" t="s">
        <v>19</v>
      </c>
      <c r="O477" s="26" t="s">
        <v>19</v>
      </c>
      <c r="P477" s="26">
        <v>101.752639</v>
      </c>
      <c r="Q477" s="26">
        <v>3.1273610000000001</v>
      </c>
      <c r="R477" s="26"/>
      <c r="S477" s="26"/>
    </row>
    <row r="478" spans="1:19" hidden="1" x14ac:dyDescent="0.25">
      <c r="A478" s="29">
        <v>3117111</v>
      </c>
      <c r="B478" s="25" t="s">
        <v>1217</v>
      </c>
      <c r="C478" s="26" t="s">
        <v>12</v>
      </c>
      <c r="D478" s="24" t="s">
        <v>157</v>
      </c>
      <c r="E478" s="26" t="s">
        <v>157</v>
      </c>
      <c r="F478" s="26"/>
      <c r="G478" s="26"/>
      <c r="H478" s="26"/>
      <c r="I478" s="26"/>
      <c r="J478" s="26" t="s">
        <v>19</v>
      </c>
      <c r="K478" s="26" t="s">
        <v>18</v>
      </c>
      <c r="L478" s="26" t="s">
        <v>19</v>
      </c>
      <c r="M478" s="26" t="s">
        <v>19</v>
      </c>
      <c r="N478" s="26" t="s">
        <v>18</v>
      </c>
      <c r="O478" s="26" t="s">
        <v>19</v>
      </c>
      <c r="P478" s="26">
        <v>101.78700000000001</v>
      </c>
      <c r="Q478" s="26">
        <v>3.1429999999999998</v>
      </c>
      <c r="R478" s="26"/>
      <c r="S478" s="26" t="s">
        <v>1218</v>
      </c>
    </row>
    <row r="479" spans="1:19" hidden="1" x14ac:dyDescent="0.25">
      <c r="A479" s="29">
        <v>3117113</v>
      </c>
      <c r="B479" s="25" t="s">
        <v>1219</v>
      </c>
      <c r="C479" s="26" t="s">
        <v>12</v>
      </c>
      <c r="D479" s="24" t="s">
        <v>157</v>
      </c>
      <c r="E479" s="26" t="s">
        <v>157</v>
      </c>
      <c r="F479" s="26"/>
      <c r="G479" s="26"/>
      <c r="H479" s="26"/>
      <c r="I479" s="26"/>
      <c r="J479" s="26" t="s">
        <v>19</v>
      </c>
      <c r="K479" s="26" t="s">
        <v>18</v>
      </c>
      <c r="L479" s="26" t="s">
        <v>19</v>
      </c>
      <c r="M479" s="26" t="s">
        <v>19</v>
      </c>
      <c r="N479" s="26" t="s">
        <v>19</v>
      </c>
      <c r="O479" s="26" t="s">
        <v>19</v>
      </c>
      <c r="P479" s="26">
        <v>101.761064</v>
      </c>
      <c r="Q479" s="26">
        <v>3.1533000000000002</v>
      </c>
      <c r="R479" s="26"/>
      <c r="S479" s="26"/>
    </row>
    <row r="480" spans="1:19" hidden="1" x14ac:dyDescent="0.25">
      <c r="A480" s="29">
        <v>3117120</v>
      </c>
      <c r="B480" s="25" t="s">
        <v>1220</v>
      </c>
      <c r="C480" s="26" t="s">
        <v>12</v>
      </c>
      <c r="D480" s="24" t="s">
        <v>157</v>
      </c>
      <c r="E480" s="26" t="s">
        <v>157</v>
      </c>
      <c r="F480" s="26" t="s">
        <v>1205</v>
      </c>
      <c r="G480" s="26" t="s">
        <v>1205</v>
      </c>
      <c r="H480" s="26"/>
      <c r="I480" s="26"/>
      <c r="J480" s="26" t="s">
        <v>19</v>
      </c>
      <c r="K480" s="26" t="s">
        <v>18</v>
      </c>
      <c r="L480" s="26" t="s">
        <v>19</v>
      </c>
      <c r="M480" s="26" t="s">
        <v>18</v>
      </c>
      <c r="N480" s="26" t="s">
        <v>19</v>
      </c>
      <c r="O480" s="26" t="s">
        <v>19</v>
      </c>
      <c r="P480" s="26">
        <v>101.747361</v>
      </c>
      <c r="Q480" s="26">
        <v>3.1101109999999998</v>
      </c>
      <c r="R480" s="26"/>
      <c r="S480" s="26"/>
    </row>
    <row r="481" spans="1:19" hidden="1" x14ac:dyDescent="0.25">
      <c r="A481" s="29">
        <v>3117130</v>
      </c>
      <c r="B481" s="25" t="s">
        <v>1221</v>
      </c>
      <c r="C481" s="26" t="s">
        <v>12</v>
      </c>
      <c r="D481" s="24" t="s">
        <v>157</v>
      </c>
      <c r="E481" s="26" t="s">
        <v>157</v>
      </c>
      <c r="F481" s="26"/>
      <c r="G481" s="26"/>
      <c r="H481" s="26"/>
      <c r="I481" s="26"/>
      <c r="J481" s="26" t="s">
        <v>19</v>
      </c>
      <c r="K481" s="26" t="s">
        <v>18</v>
      </c>
      <c r="L481" s="26" t="s">
        <v>19</v>
      </c>
      <c r="M481" s="26" t="s">
        <v>19</v>
      </c>
      <c r="N481" s="26" t="s">
        <v>19</v>
      </c>
      <c r="O481" s="26" t="s">
        <v>19</v>
      </c>
      <c r="P481" s="26">
        <v>101.729917</v>
      </c>
      <c r="Q481" s="26">
        <v>3.122528</v>
      </c>
      <c r="R481" s="26"/>
      <c r="S481" s="26"/>
    </row>
    <row r="482" spans="1:19" hidden="1" x14ac:dyDescent="0.25">
      <c r="A482" s="28">
        <v>3118069</v>
      </c>
      <c r="B482" s="15" t="s">
        <v>239</v>
      </c>
      <c r="C482" s="19" t="s">
        <v>12</v>
      </c>
      <c r="D482" s="21" t="s">
        <v>13</v>
      </c>
      <c r="E482" s="19" t="s">
        <v>157</v>
      </c>
      <c r="F482" s="19"/>
      <c r="G482" s="19" t="s">
        <v>26</v>
      </c>
      <c r="H482" s="19" t="s">
        <v>240</v>
      </c>
      <c r="I482" s="19"/>
      <c r="J482" s="19" t="s">
        <v>19</v>
      </c>
      <c r="K482" s="19" t="s">
        <v>18</v>
      </c>
      <c r="L482" s="19" t="s">
        <v>19</v>
      </c>
      <c r="M482" s="19" t="s">
        <v>19</v>
      </c>
      <c r="N482" s="19" t="s">
        <v>18</v>
      </c>
      <c r="O482" s="19" t="s">
        <v>19</v>
      </c>
      <c r="P482" s="19">
        <v>101.801389</v>
      </c>
      <c r="Q482" s="19">
        <v>3.1583329999999998</v>
      </c>
      <c r="R482" s="19"/>
      <c r="S482" s="19" t="s">
        <v>164</v>
      </c>
    </row>
    <row r="483" spans="1:19" hidden="1" x14ac:dyDescent="0.25">
      <c r="A483" s="28">
        <v>3118101</v>
      </c>
      <c r="B483" s="15" t="s">
        <v>241</v>
      </c>
      <c r="C483" s="19" t="s">
        <v>12</v>
      </c>
      <c r="D483" s="21" t="s">
        <v>13</v>
      </c>
      <c r="E483" s="19" t="s">
        <v>51</v>
      </c>
      <c r="F483" s="19" t="s">
        <v>43</v>
      </c>
      <c r="G483" s="19" t="s">
        <v>26</v>
      </c>
      <c r="H483" s="19" t="s">
        <v>242</v>
      </c>
      <c r="I483" s="19"/>
      <c r="J483" s="19" t="s">
        <v>18</v>
      </c>
      <c r="K483" s="19" t="s">
        <v>18</v>
      </c>
      <c r="L483" s="19" t="s">
        <v>19</v>
      </c>
      <c r="M483" s="19" t="s">
        <v>19</v>
      </c>
      <c r="N483" s="19" t="s">
        <v>18</v>
      </c>
      <c r="O483" s="19" t="s">
        <v>19</v>
      </c>
      <c r="P483" s="19">
        <v>101.88333299999999</v>
      </c>
      <c r="Q483" s="19">
        <v>3.2277779999999998</v>
      </c>
      <c r="R483" s="19"/>
      <c r="S483" s="19" t="s">
        <v>243</v>
      </c>
    </row>
    <row r="484" spans="1:19" hidden="1" x14ac:dyDescent="0.25">
      <c r="A484" s="28">
        <v>3118102</v>
      </c>
      <c r="B484" s="15" t="s">
        <v>244</v>
      </c>
      <c r="C484" s="19" t="s">
        <v>12</v>
      </c>
      <c r="D484" s="21" t="s">
        <v>13</v>
      </c>
      <c r="E484" s="19" t="s">
        <v>51</v>
      </c>
      <c r="F484" s="19" t="s">
        <v>245</v>
      </c>
      <c r="G484" s="19" t="s">
        <v>26</v>
      </c>
      <c r="H484" s="19" t="s">
        <v>246</v>
      </c>
      <c r="I484" s="19"/>
      <c r="J484" s="19" t="s">
        <v>18</v>
      </c>
      <c r="K484" s="19" t="s">
        <v>18</v>
      </c>
      <c r="L484" s="19" t="s">
        <v>19</v>
      </c>
      <c r="M484" s="19" t="s">
        <v>19</v>
      </c>
      <c r="N484" s="19" t="s">
        <v>18</v>
      </c>
      <c r="O484" s="19" t="s">
        <v>19</v>
      </c>
      <c r="P484" s="19">
        <v>101.87222199999999</v>
      </c>
      <c r="Q484" s="19">
        <v>3.1736110000000002</v>
      </c>
      <c r="R484" s="19"/>
      <c r="S484" s="19" t="s">
        <v>41</v>
      </c>
    </row>
    <row r="485" spans="1:19" hidden="1" x14ac:dyDescent="0.25">
      <c r="A485" s="28">
        <v>3118103</v>
      </c>
      <c r="B485" s="15" t="s">
        <v>247</v>
      </c>
      <c r="C485" s="19" t="s">
        <v>12</v>
      </c>
      <c r="D485" s="21" t="s">
        <v>13</v>
      </c>
      <c r="E485" s="19" t="s">
        <v>51</v>
      </c>
      <c r="F485" s="19" t="s">
        <v>43</v>
      </c>
      <c r="G485" s="19" t="s">
        <v>43</v>
      </c>
      <c r="H485" s="19"/>
      <c r="I485" s="19"/>
      <c r="J485" s="19" t="s">
        <v>19</v>
      </c>
      <c r="K485" s="19" t="s">
        <v>18</v>
      </c>
      <c r="L485" s="19" t="s">
        <v>19</v>
      </c>
      <c r="M485" s="19" t="s">
        <v>18</v>
      </c>
      <c r="N485" s="19" t="s">
        <v>19</v>
      </c>
      <c r="O485" s="19" t="s">
        <v>19</v>
      </c>
      <c r="P485" s="19">
        <v>101.870361</v>
      </c>
      <c r="Q485" s="19">
        <v>3.1734719999999998</v>
      </c>
      <c r="R485" s="19"/>
      <c r="S485" s="19"/>
    </row>
    <row r="486" spans="1:19" hidden="1" x14ac:dyDescent="0.25">
      <c r="A486" s="28">
        <v>3118103</v>
      </c>
      <c r="B486" s="15" t="s">
        <v>248</v>
      </c>
      <c r="C486" s="19" t="s">
        <v>12</v>
      </c>
      <c r="D486" s="21" t="s">
        <v>13</v>
      </c>
      <c r="E486" s="19" t="s">
        <v>51</v>
      </c>
      <c r="F486" s="19" t="s">
        <v>245</v>
      </c>
      <c r="G486" s="19" t="s">
        <v>26</v>
      </c>
      <c r="H486" s="19" t="s">
        <v>249</v>
      </c>
      <c r="I486" s="19"/>
      <c r="J486" s="19" t="s">
        <v>18</v>
      </c>
      <c r="K486" s="19" t="s">
        <v>18</v>
      </c>
      <c r="L486" s="19" t="s">
        <v>19</v>
      </c>
      <c r="M486" s="19" t="s">
        <v>19</v>
      </c>
      <c r="N486" s="19" t="s">
        <v>18</v>
      </c>
      <c r="O486" s="19" t="s">
        <v>19</v>
      </c>
      <c r="P486" s="19">
        <v>101.8965</v>
      </c>
      <c r="Q486" s="19">
        <v>3.1573889999999998</v>
      </c>
      <c r="R486" s="19"/>
      <c r="S486" s="19"/>
    </row>
    <row r="487" spans="1:19" hidden="1" x14ac:dyDescent="0.25">
      <c r="A487" s="28">
        <v>3118105</v>
      </c>
      <c r="B487" s="15" t="s">
        <v>250</v>
      </c>
      <c r="C487" s="19" t="s">
        <v>12</v>
      </c>
      <c r="D487" s="21" t="s">
        <v>13</v>
      </c>
      <c r="E487" s="19" t="s">
        <v>51</v>
      </c>
      <c r="F487" s="19" t="s">
        <v>43</v>
      </c>
      <c r="G487" s="19" t="s">
        <v>26</v>
      </c>
      <c r="H487" s="19"/>
      <c r="I487" s="19"/>
      <c r="J487" s="19" t="s">
        <v>18</v>
      </c>
      <c r="K487" s="19" t="s">
        <v>18</v>
      </c>
      <c r="L487" s="19" t="s">
        <v>19</v>
      </c>
      <c r="M487" s="19" t="s">
        <v>19</v>
      </c>
      <c r="N487" s="19" t="s">
        <v>18</v>
      </c>
      <c r="O487" s="19" t="s">
        <v>19</v>
      </c>
      <c r="P487" s="19">
        <v>101.816389</v>
      </c>
      <c r="Q487" s="19">
        <v>3.111389</v>
      </c>
      <c r="R487" s="19"/>
      <c r="S487" s="19"/>
    </row>
    <row r="488" spans="1:19" hidden="1" x14ac:dyDescent="0.25">
      <c r="A488" s="28">
        <v>3119001</v>
      </c>
      <c r="B488" s="15" t="s">
        <v>251</v>
      </c>
      <c r="C488" s="19" t="s">
        <v>12</v>
      </c>
      <c r="D488" s="21" t="s">
        <v>13</v>
      </c>
      <c r="E488" s="19" t="s">
        <v>51</v>
      </c>
      <c r="F488" s="19" t="s">
        <v>245</v>
      </c>
      <c r="G488" s="19" t="s">
        <v>26</v>
      </c>
      <c r="H488" s="19" t="s">
        <v>1860</v>
      </c>
      <c r="I488" s="19"/>
      <c r="J488" s="19" t="s">
        <v>18</v>
      </c>
      <c r="K488" s="19" t="s">
        <v>18</v>
      </c>
      <c r="L488" s="19" t="s">
        <v>19</v>
      </c>
      <c r="M488" s="19" t="s">
        <v>19</v>
      </c>
      <c r="N488" s="19" t="s">
        <v>18</v>
      </c>
      <c r="O488" s="19" t="s">
        <v>19</v>
      </c>
      <c r="P488" s="19">
        <v>101.905556</v>
      </c>
      <c r="Q488" s="19">
        <v>3.1722220000000001</v>
      </c>
      <c r="R488" s="19"/>
      <c r="S488" s="19" t="s">
        <v>41</v>
      </c>
    </row>
    <row r="489" spans="1:19" hidden="1" x14ac:dyDescent="0.25">
      <c r="A489" s="28">
        <v>3119002</v>
      </c>
      <c r="B489" s="15" t="s">
        <v>252</v>
      </c>
      <c r="C489" s="19" t="s">
        <v>12</v>
      </c>
      <c r="D489" s="21" t="s">
        <v>13</v>
      </c>
      <c r="E489" s="19" t="s">
        <v>51</v>
      </c>
      <c r="F489" s="19" t="s">
        <v>245</v>
      </c>
      <c r="G489" s="19" t="s">
        <v>26</v>
      </c>
      <c r="H489" s="19" t="s">
        <v>1860</v>
      </c>
      <c r="I489" s="19"/>
      <c r="J489" s="19" t="s">
        <v>18</v>
      </c>
      <c r="K489" s="19" t="s">
        <v>18</v>
      </c>
      <c r="L489" s="19" t="s">
        <v>19</v>
      </c>
      <c r="M489" s="19" t="s">
        <v>19</v>
      </c>
      <c r="N489" s="19" t="s">
        <v>18</v>
      </c>
      <c r="O489" s="19" t="s">
        <v>19</v>
      </c>
      <c r="P489" s="19">
        <v>101.905556</v>
      </c>
      <c r="Q489" s="19">
        <v>3.1361110000000001</v>
      </c>
      <c r="R489" s="19"/>
      <c r="S489" s="19" t="s">
        <v>41</v>
      </c>
    </row>
    <row r="490" spans="1:19" hidden="1" x14ac:dyDescent="0.25">
      <c r="A490" s="28">
        <v>3119003</v>
      </c>
      <c r="B490" s="15" t="s">
        <v>253</v>
      </c>
      <c r="C490" s="19" t="s">
        <v>12</v>
      </c>
      <c r="D490" s="21" t="s">
        <v>13</v>
      </c>
      <c r="E490" s="19" t="s">
        <v>51</v>
      </c>
      <c r="F490" s="19" t="s">
        <v>245</v>
      </c>
      <c r="G490" s="19" t="s">
        <v>26</v>
      </c>
      <c r="H490" s="19" t="s">
        <v>1860</v>
      </c>
      <c r="I490" s="19" t="s">
        <v>254</v>
      </c>
      <c r="J490" s="19" t="s">
        <v>19</v>
      </c>
      <c r="K490" s="19" t="s">
        <v>19</v>
      </c>
      <c r="L490" s="19" t="s">
        <v>19</v>
      </c>
      <c r="M490" s="19" t="s">
        <v>19</v>
      </c>
      <c r="N490" s="19" t="s">
        <v>19</v>
      </c>
      <c r="O490" s="19" t="s">
        <v>19</v>
      </c>
      <c r="P490" s="19">
        <v>101.9375</v>
      </c>
      <c r="Q490" s="19">
        <v>3.1597219999999999</v>
      </c>
      <c r="R490" s="19"/>
      <c r="S490" s="19" t="s">
        <v>41</v>
      </c>
    </row>
    <row r="491" spans="1:19" hidden="1" x14ac:dyDescent="0.25">
      <c r="A491" s="28">
        <v>3119104</v>
      </c>
      <c r="B491" s="15" t="s">
        <v>255</v>
      </c>
      <c r="C491" s="19" t="s">
        <v>12</v>
      </c>
      <c r="D491" s="21" t="s">
        <v>13</v>
      </c>
      <c r="E491" s="19" t="s">
        <v>51</v>
      </c>
      <c r="F491" s="19" t="s">
        <v>256</v>
      </c>
      <c r="G491" s="19" t="s">
        <v>43</v>
      </c>
      <c r="H491" s="19" t="s">
        <v>257</v>
      </c>
      <c r="I491" s="19"/>
      <c r="J491" s="19" t="s">
        <v>18</v>
      </c>
      <c r="K491" s="19" t="s">
        <v>18</v>
      </c>
      <c r="L491" s="19" t="s">
        <v>19</v>
      </c>
      <c r="M491" s="19" t="s">
        <v>18</v>
      </c>
      <c r="N491" s="19" t="s">
        <v>18</v>
      </c>
      <c r="O491" s="19" t="s">
        <v>19</v>
      </c>
      <c r="P491" s="19">
        <v>101.929722</v>
      </c>
      <c r="Q491" s="19">
        <v>3.1402779999999999</v>
      </c>
      <c r="R491" s="19"/>
      <c r="S491" s="19" t="s">
        <v>41</v>
      </c>
    </row>
    <row r="492" spans="1:19" hidden="1" x14ac:dyDescent="0.25">
      <c r="A492" s="28">
        <v>3121143</v>
      </c>
      <c r="B492" s="15" t="s">
        <v>1480</v>
      </c>
      <c r="C492" s="19" t="s">
        <v>12</v>
      </c>
      <c r="D492" s="21" t="s">
        <v>1363</v>
      </c>
      <c r="E492" s="19" t="s">
        <v>1481</v>
      </c>
      <c r="F492" s="19" t="s">
        <v>1482</v>
      </c>
      <c r="G492" s="19" t="s">
        <v>1363</v>
      </c>
      <c r="H492" s="19" t="s">
        <v>1483</v>
      </c>
      <c r="I492" s="19"/>
      <c r="J492" s="19" t="s">
        <v>18</v>
      </c>
      <c r="K492" s="19" t="s">
        <v>18</v>
      </c>
      <c r="L492" s="19" t="s">
        <v>19</v>
      </c>
      <c r="M492" s="19" t="s">
        <v>19</v>
      </c>
      <c r="N492" s="19" t="s">
        <v>18</v>
      </c>
      <c r="O492" s="19" t="s">
        <v>19</v>
      </c>
      <c r="P492" s="19">
        <v>102.197222</v>
      </c>
      <c r="Q492" s="19">
        <v>3.1749999999999998</v>
      </c>
      <c r="R492" s="19"/>
      <c r="S492" s="19" t="s">
        <v>41</v>
      </c>
    </row>
    <row r="493" spans="1:19" hidden="1" x14ac:dyDescent="0.25">
      <c r="A493" s="29">
        <v>3122001</v>
      </c>
      <c r="B493" s="25" t="s">
        <v>1420</v>
      </c>
      <c r="C493" s="26" t="s">
        <v>12</v>
      </c>
      <c r="D493" s="24" t="s">
        <v>1303</v>
      </c>
      <c r="E493" s="26" t="s">
        <v>1393</v>
      </c>
      <c r="F493" s="26"/>
      <c r="G493" s="26" t="s">
        <v>1363</v>
      </c>
      <c r="H493" s="26" t="s">
        <v>1098</v>
      </c>
      <c r="I493" s="26" t="s">
        <v>808</v>
      </c>
      <c r="J493" s="26" t="s">
        <v>19</v>
      </c>
      <c r="K493" s="26" t="s">
        <v>19</v>
      </c>
      <c r="L493" s="26" t="s">
        <v>19</v>
      </c>
      <c r="M493" s="26" t="s">
        <v>19</v>
      </c>
      <c r="N493" s="26" t="s">
        <v>19</v>
      </c>
      <c r="O493" s="26" t="s">
        <v>19</v>
      </c>
      <c r="P493" s="26">
        <v>102.216667</v>
      </c>
      <c r="Q493" s="26">
        <v>3.1138889999999999</v>
      </c>
      <c r="R493" s="26"/>
      <c r="S493" s="26" t="s">
        <v>41</v>
      </c>
    </row>
    <row r="494" spans="1:19" hidden="1" x14ac:dyDescent="0.25">
      <c r="A494" s="29">
        <v>3122020</v>
      </c>
      <c r="B494" s="25" t="s">
        <v>1421</v>
      </c>
      <c r="C494" s="26" t="s">
        <v>12</v>
      </c>
      <c r="D494" s="24" t="s">
        <v>1303</v>
      </c>
      <c r="E494" s="26" t="s">
        <v>1393</v>
      </c>
      <c r="F494" s="26"/>
      <c r="G494" s="26" t="s">
        <v>1363</v>
      </c>
      <c r="H494" s="26" t="s">
        <v>1009</v>
      </c>
      <c r="I494" s="26" t="s">
        <v>1098</v>
      </c>
      <c r="J494" s="26" t="s">
        <v>19</v>
      </c>
      <c r="K494" s="26" t="s">
        <v>19</v>
      </c>
      <c r="L494" s="26" t="s">
        <v>18</v>
      </c>
      <c r="M494" s="26" t="s">
        <v>19</v>
      </c>
      <c r="N494" s="26" t="s">
        <v>19</v>
      </c>
      <c r="O494" s="26" t="s">
        <v>19</v>
      </c>
      <c r="P494" s="26">
        <v>102.22361100000001</v>
      </c>
      <c r="Q494" s="26">
        <v>3.1027779999999998</v>
      </c>
      <c r="R494" s="26"/>
      <c r="S494" s="26" t="s">
        <v>20</v>
      </c>
    </row>
    <row r="495" spans="1:19" hidden="1" x14ac:dyDescent="0.25">
      <c r="A495" s="29">
        <v>3122021</v>
      </c>
      <c r="B495" s="25" t="s">
        <v>1422</v>
      </c>
      <c r="C495" s="26" t="s">
        <v>12</v>
      </c>
      <c r="D495" s="24" t="s">
        <v>1303</v>
      </c>
      <c r="E495" s="26" t="s">
        <v>1393</v>
      </c>
      <c r="F495" s="26" t="s">
        <v>227</v>
      </c>
      <c r="G495" s="26" t="s">
        <v>1363</v>
      </c>
      <c r="H495" s="26" t="s">
        <v>1423</v>
      </c>
      <c r="I495" s="26"/>
      <c r="J495" s="26" t="s">
        <v>18</v>
      </c>
      <c r="K495" s="26" t="s">
        <v>18</v>
      </c>
      <c r="L495" s="26" t="s">
        <v>18</v>
      </c>
      <c r="M495" s="26" t="s">
        <v>19</v>
      </c>
      <c r="N495" s="26" t="s">
        <v>18</v>
      </c>
      <c r="O495" s="26" t="s">
        <v>19</v>
      </c>
      <c r="P495" s="26">
        <v>102.244444</v>
      </c>
      <c r="Q495" s="26">
        <v>3.105556</v>
      </c>
      <c r="R495" s="26"/>
      <c r="S495" s="26" t="s">
        <v>41</v>
      </c>
    </row>
    <row r="496" spans="1:19" hidden="1" x14ac:dyDescent="0.25">
      <c r="A496" s="28">
        <v>3122142</v>
      </c>
      <c r="B496" s="15" t="s">
        <v>1484</v>
      </c>
      <c r="C496" s="19" t="s">
        <v>12</v>
      </c>
      <c r="D496" s="21" t="s">
        <v>1363</v>
      </c>
      <c r="E496" s="19" t="s">
        <v>1481</v>
      </c>
      <c r="F496" s="19" t="s">
        <v>1482</v>
      </c>
      <c r="G496" s="19" t="s">
        <v>1363</v>
      </c>
      <c r="H496" s="19" t="s">
        <v>837</v>
      </c>
      <c r="I496" s="19"/>
      <c r="J496" s="19" t="s">
        <v>18</v>
      </c>
      <c r="K496" s="19" t="s">
        <v>18</v>
      </c>
      <c r="L496" s="19" t="s">
        <v>18</v>
      </c>
      <c r="M496" s="19" t="s">
        <v>19</v>
      </c>
      <c r="N496" s="19" t="s">
        <v>19</v>
      </c>
      <c r="O496" s="19" t="s">
        <v>19</v>
      </c>
      <c r="P496" s="19">
        <v>102.24166700000001</v>
      </c>
      <c r="Q496" s="19">
        <v>3.1736110000000002</v>
      </c>
      <c r="R496" s="19"/>
      <c r="S496" s="19" t="s">
        <v>41</v>
      </c>
    </row>
    <row r="497" spans="1:19" hidden="1" x14ac:dyDescent="0.25">
      <c r="A497" s="28">
        <v>3123151</v>
      </c>
      <c r="B497" s="15" t="s">
        <v>1485</v>
      </c>
      <c r="C497" s="19" t="s">
        <v>12</v>
      </c>
      <c r="D497" s="21" t="s">
        <v>1363</v>
      </c>
      <c r="E497" s="19" t="s">
        <v>1486</v>
      </c>
      <c r="F497" s="19" t="s">
        <v>1482</v>
      </c>
      <c r="G497" s="19" t="s">
        <v>1363</v>
      </c>
      <c r="H497" s="19" t="s">
        <v>1487</v>
      </c>
      <c r="I497" s="19"/>
      <c r="J497" s="19" t="s">
        <v>18</v>
      </c>
      <c r="K497" s="19" t="s">
        <v>18</v>
      </c>
      <c r="L497" s="19" t="s">
        <v>18</v>
      </c>
      <c r="M497" s="19" t="s">
        <v>19</v>
      </c>
      <c r="N497" s="19" t="s">
        <v>19</v>
      </c>
      <c r="O497" s="19" t="s">
        <v>19</v>
      </c>
      <c r="P497" s="19">
        <v>102.373611</v>
      </c>
      <c r="Q497" s="19">
        <v>3.1583329999999998</v>
      </c>
      <c r="R497" s="19"/>
      <c r="S497" s="19" t="s">
        <v>20</v>
      </c>
    </row>
    <row r="498" spans="1:19" hidden="1" x14ac:dyDescent="0.25">
      <c r="A498" s="28">
        <v>3125158</v>
      </c>
      <c r="B498" s="15" t="s">
        <v>1488</v>
      </c>
      <c r="C498" s="19" t="s">
        <v>12</v>
      </c>
      <c r="D498" s="21" t="s">
        <v>1363</v>
      </c>
      <c r="E498" s="19" t="s">
        <v>1486</v>
      </c>
      <c r="F498" s="19" t="s">
        <v>1412</v>
      </c>
      <c r="G498" s="19" t="s">
        <v>1363</v>
      </c>
      <c r="H498" s="19" t="s">
        <v>1444</v>
      </c>
      <c r="I498" s="19"/>
      <c r="J498" s="19" t="s">
        <v>19</v>
      </c>
      <c r="K498" s="19" t="s">
        <v>19</v>
      </c>
      <c r="L498" s="19" t="s">
        <v>19</v>
      </c>
      <c r="M498" s="19" t="s">
        <v>19</v>
      </c>
      <c r="N498" s="19" t="s">
        <v>18</v>
      </c>
      <c r="O498" s="19" t="s">
        <v>19</v>
      </c>
      <c r="P498" s="19">
        <v>102.573611</v>
      </c>
      <c r="Q498" s="19">
        <v>3.1986110000000001</v>
      </c>
      <c r="R498" s="19"/>
      <c r="S498" s="19" t="s">
        <v>41</v>
      </c>
    </row>
    <row r="499" spans="1:19" hidden="1" x14ac:dyDescent="0.25">
      <c r="A499" s="28">
        <v>3129177</v>
      </c>
      <c r="B499" s="15" t="s">
        <v>1489</v>
      </c>
      <c r="C499" s="19" t="s">
        <v>12</v>
      </c>
      <c r="D499" s="21" t="s">
        <v>1363</v>
      </c>
      <c r="E499" s="19" t="s">
        <v>1442</v>
      </c>
      <c r="F499" s="19" t="s">
        <v>1490</v>
      </c>
      <c r="G499" s="19" t="s">
        <v>1425</v>
      </c>
      <c r="H499" s="19" t="s">
        <v>1444</v>
      </c>
      <c r="I499" s="19"/>
      <c r="J499" s="19" t="s">
        <v>18</v>
      </c>
      <c r="K499" s="19" t="s">
        <v>18</v>
      </c>
      <c r="L499" s="19" t="s">
        <v>19</v>
      </c>
      <c r="M499" s="19" t="s">
        <v>19</v>
      </c>
      <c r="N499" s="19" t="s">
        <v>18</v>
      </c>
      <c r="O499" s="19" t="s">
        <v>19</v>
      </c>
      <c r="P499" s="19">
        <v>102.976389</v>
      </c>
      <c r="Q499" s="19">
        <v>3.168056</v>
      </c>
      <c r="R499" s="19"/>
      <c r="S499" s="19" t="s">
        <v>41</v>
      </c>
    </row>
    <row r="500" spans="1:19" hidden="1" x14ac:dyDescent="0.25">
      <c r="A500" s="28">
        <v>3134165</v>
      </c>
      <c r="B500" s="15" t="s">
        <v>1491</v>
      </c>
      <c r="C500" s="19" t="s">
        <v>12</v>
      </c>
      <c r="D500" s="21" t="s">
        <v>1363</v>
      </c>
      <c r="E500" s="19" t="s">
        <v>1442</v>
      </c>
      <c r="F500" s="19" t="s">
        <v>1492</v>
      </c>
      <c r="G500" s="19" t="s">
        <v>1493</v>
      </c>
      <c r="H500" s="19" t="s">
        <v>1494</v>
      </c>
      <c r="I500" s="19"/>
      <c r="J500" s="19" t="s">
        <v>18</v>
      </c>
      <c r="K500" s="19" t="s">
        <v>18</v>
      </c>
      <c r="L500" s="19" t="s">
        <v>19</v>
      </c>
      <c r="M500" s="19" t="s">
        <v>19</v>
      </c>
      <c r="N500" s="19" t="s">
        <v>18</v>
      </c>
      <c r="O500" s="19" t="s">
        <v>19</v>
      </c>
      <c r="P500" s="19">
        <v>103.441667</v>
      </c>
      <c r="Q500" s="19">
        <v>3.1375000000000002</v>
      </c>
      <c r="R500" s="19"/>
      <c r="S500" s="19" t="s">
        <v>41</v>
      </c>
    </row>
    <row r="501" spans="1:19" hidden="1" x14ac:dyDescent="0.25">
      <c r="A501" s="28">
        <v>3211001</v>
      </c>
      <c r="B501" s="15" t="s">
        <v>258</v>
      </c>
      <c r="C501" s="19" t="s">
        <v>12</v>
      </c>
      <c r="D501" s="21" t="s">
        <v>13</v>
      </c>
      <c r="E501" s="19" t="s">
        <v>259</v>
      </c>
      <c r="F501" s="19" t="s">
        <v>260</v>
      </c>
      <c r="G501" s="19" t="s">
        <v>261</v>
      </c>
      <c r="H501" s="19"/>
      <c r="I501" s="19"/>
      <c r="J501" s="19" t="s">
        <v>18</v>
      </c>
      <c r="K501" s="19" t="s">
        <v>18</v>
      </c>
      <c r="L501" s="19" t="s">
        <v>19</v>
      </c>
      <c r="M501" s="19" t="s">
        <v>19</v>
      </c>
      <c r="N501" s="19" t="s">
        <v>18</v>
      </c>
      <c r="O501" s="19" t="s">
        <v>19</v>
      </c>
      <c r="P501" s="19">
        <v>101.632806</v>
      </c>
      <c r="Q501" s="19">
        <v>3.2969439999999999</v>
      </c>
      <c r="R501" s="19"/>
      <c r="S501" s="19"/>
    </row>
    <row r="502" spans="1:19" hidden="1" x14ac:dyDescent="0.25">
      <c r="A502" s="28">
        <v>3213057</v>
      </c>
      <c r="B502" s="15" t="s">
        <v>262</v>
      </c>
      <c r="C502" s="19" t="s">
        <v>12</v>
      </c>
      <c r="D502" s="21" t="s">
        <v>13</v>
      </c>
      <c r="E502" s="19" t="s">
        <v>209</v>
      </c>
      <c r="F502" s="19" t="s">
        <v>211</v>
      </c>
      <c r="G502" s="19" t="s">
        <v>13</v>
      </c>
      <c r="H502" s="19" t="s">
        <v>263</v>
      </c>
      <c r="I502" s="19"/>
      <c r="J502" s="19" t="s">
        <v>18</v>
      </c>
      <c r="K502" s="19" t="s">
        <v>18</v>
      </c>
      <c r="L502" s="19" t="s">
        <v>19</v>
      </c>
      <c r="M502" s="19" t="s">
        <v>19</v>
      </c>
      <c r="N502" s="19" t="s">
        <v>18</v>
      </c>
      <c r="O502" s="19" t="s">
        <v>19</v>
      </c>
      <c r="P502" s="19">
        <v>101.318361</v>
      </c>
      <c r="Q502" s="19">
        <v>3.2495829999999999</v>
      </c>
      <c r="R502" s="19"/>
      <c r="S502" s="19" t="s">
        <v>20</v>
      </c>
    </row>
    <row r="503" spans="1:19" hidden="1" x14ac:dyDescent="0.25">
      <c r="A503" s="28">
        <v>3213058</v>
      </c>
      <c r="B503" s="15" t="s">
        <v>264</v>
      </c>
      <c r="C503" s="19" t="s">
        <v>12</v>
      </c>
      <c r="D503" s="21" t="s">
        <v>13</v>
      </c>
      <c r="E503" s="19" t="s">
        <v>209</v>
      </c>
      <c r="F503" s="19" t="s">
        <v>211</v>
      </c>
      <c r="G503" s="19" t="s">
        <v>13</v>
      </c>
      <c r="H503" s="19" t="s">
        <v>265</v>
      </c>
      <c r="I503" s="19"/>
      <c r="J503" s="19" t="s">
        <v>18</v>
      </c>
      <c r="K503" s="19" t="s">
        <v>18</v>
      </c>
      <c r="L503" s="19" t="s">
        <v>19</v>
      </c>
      <c r="M503" s="19" t="s">
        <v>19</v>
      </c>
      <c r="N503" s="19" t="s">
        <v>18</v>
      </c>
      <c r="O503" s="19" t="s">
        <v>19</v>
      </c>
      <c r="P503" s="19">
        <v>101.363889</v>
      </c>
      <c r="Q503" s="19">
        <v>3.2263890000000002</v>
      </c>
      <c r="R503" s="19"/>
      <c r="S503" s="19" t="s">
        <v>20</v>
      </c>
    </row>
    <row r="504" spans="1:19" hidden="1" x14ac:dyDescent="0.25">
      <c r="A504" s="28">
        <v>3214054</v>
      </c>
      <c r="B504" s="15" t="s">
        <v>266</v>
      </c>
      <c r="C504" s="19" t="s">
        <v>12</v>
      </c>
      <c r="D504" s="21" t="s">
        <v>13</v>
      </c>
      <c r="E504" s="19" t="s">
        <v>209</v>
      </c>
      <c r="F504" s="19" t="s">
        <v>227</v>
      </c>
      <c r="G504" s="19" t="s">
        <v>13</v>
      </c>
      <c r="H504" s="19" t="s">
        <v>267</v>
      </c>
      <c r="I504" s="19"/>
      <c r="J504" s="19" t="s">
        <v>18</v>
      </c>
      <c r="K504" s="19" t="s">
        <v>18</v>
      </c>
      <c r="L504" s="19" t="s">
        <v>19</v>
      </c>
      <c r="M504" s="19" t="s">
        <v>19</v>
      </c>
      <c r="N504" s="19" t="s">
        <v>18</v>
      </c>
      <c r="O504" s="19" t="s">
        <v>19</v>
      </c>
      <c r="P504" s="19">
        <v>101.457111</v>
      </c>
      <c r="Q504" s="19">
        <v>3.2691940000000002</v>
      </c>
      <c r="R504" s="19"/>
      <c r="S504" s="19" t="s">
        <v>20</v>
      </c>
    </row>
    <row r="505" spans="1:19" hidden="1" x14ac:dyDescent="0.25">
      <c r="A505" s="28">
        <v>3214055</v>
      </c>
      <c r="B505" s="15" t="s">
        <v>268</v>
      </c>
      <c r="C505" s="19" t="s">
        <v>12</v>
      </c>
      <c r="D505" s="21" t="s">
        <v>13</v>
      </c>
      <c r="E505" s="19" t="s">
        <v>209</v>
      </c>
      <c r="F505" s="19" t="s">
        <v>227</v>
      </c>
      <c r="G505" s="19" t="s">
        <v>13</v>
      </c>
      <c r="H505" s="19" t="s">
        <v>154</v>
      </c>
      <c r="I505" s="19"/>
      <c r="J505" s="19" t="s">
        <v>18</v>
      </c>
      <c r="K505" s="19" t="s">
        <v>18</v>
      </c>
      <c r="L505" s="19" t="s">
        <v>19</v>
      </c>
      <c r="M505" s="19" t="s">
        <v>19</v>
      </c>
      <c r="N505" s="19" t="s">
        <v>18</v>
      </c>
      <c r="O505" s="19" t="s">
        <v>19</v>
      </c>
      <c r="P505" s="19">
        <v>101.402778</v>
      </c>
      <c r="Q505" s="19">
        <v>3.2583329999999999</v>
      </c>
      <c r="R505" s="19"/>
      <c r="S505" s="19" t="s">
        <v>20</v>
      </c>
    </row>
    <row r="506" spans="1:19" hidden="1" x14ac:dyDescent="0.25">
      <c r="A506" s="28">
        <v>3214056</v>
      </c>
      <c r="B506" s="15" t="s">
        <v>269</v>
      </c>
      <c r="C506" s="19" t="s">
        <v>12</v>
      </c>
      <c r="D506" s="21" t="s">
        <v>13</v>
      </c>
      <c r="E506" s="19" t="s">
        <v>14</v>
      </c>
      <c r="F506" s="19" t="s">
        <v>210</v>
      </c>
      <c r="G506" s="19" t="s">
        <v>210</v>
      </c>
      <c r="H506" s="19"/>
      <c r="I506" s="19"/>
      <c r="J506" s="19" t="s">
        <v>19</v>
      </c>
      <c r="K506" s="19" t="s">
        <v>18</v>
      </c>
      <c r="L506" s="19" t="s">
        <v>19</v>
      </c>
      <c r="M506" s="19" t="s">
        <v>18</v>
      </c>
      <c r="N506" s="19" t="s">
        <v>19</v>
      </c>
      <c r="O506" s="19" t="s">
        <v>19</v>
      </c>
      <c r="P506" s="19">
        <v>101.469694</v>
      </c>
      <c r="Q506" s="19">
        <v>3.2461389999999999</v>
      </c>
      <c r="R506" s="19"/>
      <c r="S506" s="19"/>
    </row>
    <row r="507" spans="1:19" hidden="1" x14ac:dyDescent="0.25">
      <c r="A507" s="28">
        <v>3214057</v>
      </c>
      <c r="B507" s="15" t="s">
        <v>270</v>
      </c>
      <c r="C507" s="19" t="s">
        <v>12</v>
      </c>
      <c r="D507" s="21" t="s">
        <v>13</v>
      </c>
      <c r="E507" s="19" t="s">
        <v>259</v>
      </c>
      <c r="F507" s="19" t="s">
        <v>271</v>
      </c>
      <c r="G507" s="19" t="s">
        <v>13</v>
      </c>
      <c r="H507" s="19"/>
      <c r="I507" s="19"/>
      <c r="J507" s="19" t="s">
        <v>18</v>
      </c>
      <c r="K507" s="19" t="s">
        <v>18</v>
      </c>
      <c r="L507" s="19" t="s">
        <v>19</v>
      </c>
      <c r="M507" s="19" t="s">
        <v>19</v>
      </c>
      <c r="N507" s="19" t="s">
        <v>18</v>
      </c>
      <c r="O507" s="19" t="s">
        <v>19</v>
      </c>
      <c r="P507" s="19">
        <v>101.488333</v>
      </c>
      <c r="Q507" s="19">
        <v>3.299722</v>
      </c>
      <c r="R507" s="19"/>
      <c r="S507" s="19"/>
    </row>
    <row r="508" spans="1:19" hidden="1" x14ac:dyDescent="0.25">
      <c r="A508" s="28">
        <v>3215001</v>
      </c>
      <c r="B508" s="15" t="s">
        <v>272</v>
      </c>
      <c r="C508" s="19" t="s">
        <v>12</v>
      </c>
      <c r="D508" s="21" t="s">
        <v>13</v>
      </c>
      <c r="E508" s="19" t="s">
        <v>157</v>
      </c>
      <c r="F508" s="19" t="s">
        <v>227</v>
      </c>
      <c r="G508" s="19" t="s">
        <v>13</v>
      </c>
      <c r="H508" s="19" t="s">
        <v>273</v>
      </c>
      <c r="I508" s="19"/>
      <c r="J508" s="19" t="s">
        <v>19</v>
      </c>
      <c r="K508" s="19" t="s">
        <v>19</v>
      </c>
      <c r="L508" s="19" t="s">
        <v>19</v>
      </c>
      <c r="M508" s="19" t="s">
        <v>19</v>
      </c>
      <c r="N508" s="19" t="s">
        <v>18</v>
      </c>
      <c r="O508" s="19" t="s">
        <v>19</v>
      </c>
      <c r="P508" s="19">
        <v>101.51944399999999</v>
      </c>
      <c r="Q508" s="19">
        <v>3.2083330000000001</v>
      </c>
      <c r="R508" s="19"/>
      <c r="S508" s="19" t="s">
        <v>41</v>
      </c>
    </row>
    <row r="509" spans="1:19" hidden="1" x14ac:dyDescent="0.25">
      <c r="A509" s="28">
        <v>3215035</v>
      </c>
      <c r="B509" s="15" t="s">
        <v>274</v>
      </c>
      <c r="C509" s="19" t="s">
        <v>12</v>
      </c>
      <c r="D509" s="21" t="s">
        <v>13</v>
      </c>
      <c r="E509" s="19" t="s">
        <v>275</v>
      </c>
      <c r="F509" s="19"/>
      <c r="G509" s="19" t="s">
        <v>13</v>
      </c>
      <c r="H509" s="19" t="s">
        <v>145</v>
      </c>
      <c r="I509" s="19"/>
      <c r="J509" s="19" t="s">
        <v>19</v>
      </c>
      <c r="K509" s="19" t="s">
        <v>19</v>
      </c>
      <c r="L509" s="19" t="s">
        <v>18</v>
      </c>
      <c r="M509" s="19" t="s">
        <v>19</v>
      </c>
      <c r="N509" s="19" t="s">
        <v>19</v>
      </c>
      <c r="O509" s="19" t="s">
        <v>19</v>
      </c>
      <c r="P509" s="19">
        <v>101.520833</v>
      </c>
      <c r="Q509" s="19">
        <v>3.233333</v>
      </c>
      <c r="R509" s="19"/>
      <c r="S509" s="19" t="s">
        <v>20</v>
      </c>
    </row>
    <row r="510" spans="1:19" hidden="1" x14ac:dyDescent="0.25">
      <c r="A510" s="28">
        <v>3215051</v>
      </c>
      <c r="B510" s="15" t="s">
        <v>276</v>
      </c>
      <c r="C510" s="19" t="s">
        <v>12</v>
      </c>
      <c r="D510" s="21" t="s">
        <v>13</v>
      </c>
      <c r="E510" s="19" t="s">
        <v>209</v>
      </c>
      <c r="F510" s="19"/>
      <c r="G510" s="19" t="s">
        <v>13</v>
      </c>
      <c r="H510" s="19" t="s">
        <v>277</v>
      </c>
      <c r="I510" s="19" t="s">
        <v>278</v>
      </c>
      <c r="J510" s="19" t="s">
        <v>19</v>
      </c>
      <c r="K510" s="19" t="s">
        <v>19</v>
      </c>
      <c r="L510" s="19" t="s">
        <v>18</v>
      </c>
      <c r="M510" s="19" t="s">
        <v>19</v>
      </c>
      <c r="N510" s="19" t="s">
        <v>19</v>
      </c>
      <c r="O510" s="19" t="s">
        <v>19</v>
      </c>
      <c r="P510" s="19">
        <v>101.591667</v>
      </c>
      <c r="Q510" s="19">
        <v>3.223611</v>
      </c>
      <c r="R510" s="19"/>
      <c r="S510" s="19" t="s">
        <v>279</v>
      </c>
    </row>
    <row r="511" spans="1:19" hidden="1" x14ac:dyDescent="0.25">
      <c r="A511" s="28">
        <v>3215053</v>
      </c>
      <c r="B511" s="15" t="s">
        <v>280</v>
      </c>
      <c r="C511" s="19" t="s">
        <v>12</v>
      </c>
      <c r="D511" s="21" t="s">
        <v>13</v>
      </c>
      <c r="E511" s="19" t="s">
        <v>259</v>
      </c>
      <c r="F511" s="19" t="s">
        <v>281</v>
      </c>
      <c r="G511" s="19" t="s">
        <v>13</v>
      </c>
      <c r="H511" s="19"/>
      <c r="I511" s="19"/>
      <c r="J511" s="19" t="s">
        <v>18</v>
      </c>
      <c r="K511" s="19" t="s">
        <v>18</v>
      </c>
      <c r="L511" s="19" t="s">
        <v>19</v>
      </c>
      <c r="M511" s="19" t="s">
        <v>19</v>
      </c>
      <c r="N511" s="19" t="s">
        <v>18</v>
      </c>
      <c r="O511" s="19" t="s">
        <v>19</v>
      </c>
      <c r="P511" s="19">
        <v>101.529167</v>
      </c>
      <c r="Q511" s="19">
        <v>3.2508330000000001</v>
      </c>
      <c r="R511" s="19"/>
      <c r="S511" s="19"/>
    </row>
    <row r="512" spans="1:19" hidden="1" x14ac:dyDescent="0.25">
      <c r="A512" s="28">
        <v>3215054</v>
      </c>
      <c r="B512" s="15" t="s">
        <v>282</v>
      </c>
      <c r="C512" s="19" t="s">
        <v>12</v>
      </c>
      <c r="D512" s="21" t="s">
        <v>13</v>
      </c>
      <c r="E512" s="19" t="s">
        <v>259</v>
      </c>
      <c r="F512" s="19" t="s">
        <v>211</v>
      </c>
      <c r="G512" s="19" t="s">
        <v>211</v>
      </c>
      <c r="H512" s="19"/>
      <c r="I512" s="19"/>
      <c r="J512" s="19" t="s">
        <v>18</v>
      </c>
      <c r="K512" s="19" t="s">
        <v>18</v>
      </c>
      <c r="L512" s="19" t="s">
        <v>19</v>
      </c>
      <c r="M512" s="19" t="s">
        <v>19</v>
      </c>
      <c r="N512" s="19" t="s">
        <v>18</v>
      </c>
      <c r="O512" s="19" t="s">
        <v>19</v>
      </c>
      <c r="P512" s="19">
        <v>101.576111</v>
      </c>
      <c r="Q512" s="19">
        <v>3.2161110000000002</v>
      </c>
      <c r="R512" s="19"/>
      <c r="S512" s="19"/>
    </row>
    <row r="513" spans="1:19" hidden="1" x14ac:dyDescent="0.25">
      <c r="A513" s="28">
        <v>3215055</v>
      </c>
      <c r="B513" s="15" t="s">
        <v>283</v>
      </c>
      <c r="C513" s="19" t="s">
        <v>12</v>
      </c>
      <c r="D513" s="21" t="s">
        <v>13</v>
      </c>
      <c r="E513" s="19" t="s">
        <v>85</v>
      </c>
      <c r="F513" s="19" t="s">
        <v>210</v>
      </c>
      <c r="G513" s="19" t="s">
        <v>284</v>
      </c>
      <c r="H513" s="19"/>
      <c r="I513" s="19"/>
      <c r="J513" s="19" t="s">
        <v>18</v>
      </c>
      <c r="K513" s="19" t="s">
        <v>18</v>
      </c>
      <c r="L513" s="19" t="s">
        <v>19</v>
      </c>
      <c r="M513" s="19" t="s">
        <v>19</v>
      </c>
      <c r="N513" s="19" t="s">
        <v>18</v>
      </c>
      <c r="O513" s="19" t="s">
        <v>19</v>
      </c>
      <c r="P513" s="19">
        <v>101.524444</v>
      </c>
      <c r="Q513" s="19">
        <v>3.2163889999999999</v>
      </c>
      <c r="R513" s="19"/>
      <c r="S513" s="19"/>
    </row>
    <row r="514" spans="1:19" hidden="1" x14ac:dyDescent="0.25">
      <c r="A514" s="29">
        <v>3216001</v>
      </c>
      <c r="B514" s="25" t="s">
        <v>1222</v>
      </c>
      <c r="C514" s="26" t="s">
        <v>12</v>
      </c>
      <c r="D514" s="24" t="s">
        <v>157</v>
      </c>
      <c r="E514" s="26" t="s">
        <v>157</v>
      </c>
      <c r="F514" s="26" t="s">
        <v>1195</v>
      </c>
      <c r="G514" s="26" t="s">
        <v>295</v>
      </c>
      <c r="H514" s="26" t="s">
        <v>1223</v>
      </c>
      <c r="I514" s="26"/>
      <c r="J514" s="26" t="s">
        <v>18</v>
      </c>
      <c r="K514" s="26" t="s">
        <v>18</v>
      </c>
      <c r="L514" s="26" t="s">
        <v>19</v>
      </c>
      <c r="M514" s="26" t="s">
        <v>19</v>
      </c>
      <c r="N514" s="26" t="s">
        <v>18</v>
      </c>
      <c r="O514" s="26" t="s">
        <v>19</v>
      </c>
      <c r="P514" s="26">
        <v>101.686111</v>
      </c>
      <c r="Q514" s="26">
        <v>3.2722220000000002</v>
      </c>
      <c r="R514" s="26"/>
      <c r="S514" s="26" t="s">
        <v>41</v>
      </c>
    </row>
    <row r="515" spans="1:19" hidden="1" x14ac:dyDescent="0.25">
      <c r="A515" s="29">
        <v>3216002</v>
      </c>
      <c r="B515" s="25" t="s">
        <v>1224</v>
      </c>
      <c r="C515" s="26" t="s">
        <v>12</v>
      </c>
      <c r="D515" s="24" t="s">
        <v>157</v>
      </c>
      <c r="E515" s="26" t="s">
        <v>259</v>
      </c>
      <c r="F515" s="26"/>
      <c r="G515" s="26"/>
      <c r="H515" s="26"/>
      <c r="I515" s="26"/>
      <c r="J515" s="26" t="s">
        <v>19</v>
      </c>
      <c r="K515" s="26" t="s">
        <v>19</v>
      </c>
      <c r="L515" s="26" t="s">
        <v>19</v>
      </c>
      <c r="M515" s="26" t="s">
        <v>19</v>
      </c>
      <c r="N515" s="26" t="s">
        <v>18</v>
      </c>
      <c r="O515" s="26" t="s">
        <v>19</v>
      </c>
      <c r="P515" s="26">
        <v>101.636111</v>
      </c>
      <c r="Q515" s="26">
        <v>3.230556</v>
      </c>
      <c r="R515" s="26"/>
      <c r="S515" s="26"/>
    </row>
    <row r="516" spans="1:19" hidden="1" x14ac:dyDescent="0.25">
      <c r="A516" s="28">
        <v>3216002</v>
      </c>
      <c r="B516" s="15" t="s">
        <v>285</v>
      </c>
      <c r="C516" s="19" t="s">
        <v>12</v>
      </c>
      <c r="D516" s="21" t="s">
        <v>13</v>
      </c>
      <c r="E516" s="19" t="s">
        <v>259</v>
      </c>
      <c r="F516" s="19"/>
      <c r="G516" s="19" t="s">
        <v>69</v>
      </c>
      <c r="H516" s="19" t="s">
        <v>286</v>
      </c>
      <c r="I516" s="19" t="s">
        <v>152</v>
      </c>
      <c r="J516" s="19" t="s">
        <v>19</v>
      </c>
      <c r="K516" s="19" t="s">
        <v>19</v>
      </c>
      <c r="L516" s="19" t="s">
        <v>18</v>
      </c>
      <c r="M516" s="19" t="s">
        <v>19</v>
      </c>
      <c r="N516" s="19" t="s">
        <v>19</v>
      </c>
      <c r="O516" s="19" t="s">
        <v>19</v>
      </c>
      <c r="P516" s="19">
        <v>101.636111</v>
      </c>
      <c r="Q516" s="19">
        <v>3.230556</v>
      </c>
      <c r="R516" s="19"/>
      <c r="S516" s="19" t="s">
        <v>41</v>
      </c>
    </row>
    <row r="517" spans="1:19" hidden="1" x14ac:dyDescent="0.25">
      <c r="A517" s="29">
        <v>3216003</v>
      </c>
      <c r="B517" s="25" t="s">
        <v>1225</v>
      </c>
      <c r="C517" s="26" t="s">
        <v>12</v>
      </c>
      <c r="D517" s="24" t="s">
        <v>157</v>
      </c>
      <c r="E517" s="26" t="s">
        <v>157</v>
      </c>
      <c r="F517" s="26"/>
      <c r="G517" s="26"/>
      <c r="H517" s="26" t="s">
        <v>152</v>
      </c>
      <c r="I517" s="26" t="s">
        <v>1226</v>
      </c>
      <c r="J517" s="26" t="s">
        <v>19</v>
      </c>
      <c r="K517" s="26" t="s">
        <v>19</v>
      </c>
      <c r="L517" s="26" t="s">
        <v>19</v>
      </c>
      <c r="M517" s="26" t="s">
        <v>19</v>
      </c>
      <c r="N517" s="26" t="s">
        <v>19</v>
      </c>
      <c r="O517" s="26" t="s">
        <v>19</v>
      </c>
      <c r="P517" s="26">
        <v>101.6375</v>
      </c>
      <c r="Q517" s="26">
        <v>3.230556</v>
      </c>
      <c r="R517" s="26"/>
      <c r="S517" s="26" t="s">
        <v>41</v>
      </c>
    </row>
    <row r="518" spans="1:19" hidden="1" x14ac:dyDescent="0.25">
      <c r="A518" s="29">
        <v>3216004</v>
      </c>
      <c r="B518" s="25" t="s">
        <v>1227</v>
      </c>
      <c r="C518" s="26" t="s">
        <v>12</v>
      </c>
      <c r="D518" s="24" t="s">
        <v>157</v>
      </c>
      <c r="E518" s="26" t="s">
        <v>157</v>
      </c>
      <c r="F518" s="26" t="s">
        <v>716</v>
      </c>
      <c r="G518" s="26" t="s">
        <v>1228</v>
      </c>
      <c r="H518" s="26" t="s">
        <v>133</v>
      </c>
      <c r="I518" s="26"/>
      <c r="J518" s="26" t="s">
        <v>18</v>
      </c>
      <c r="K518" s="26" t="s">
        <v>18</v>
      </c>
      <c r="L518" s="26" t="s">
        <v>19</v>
      </c>
      <c r="M518" s="26" t="s">
        <v>18</v>
      </c>
      <c r="N518" s="26" t="s">
        <v>18</v>
      </c>
      <c r="O518" s="26" t="s">
        <v>19</v>
      </c>
      <c r="P518" s="26">
        <v>101.660556</v>
      </c>
      <c r="Q518" s="26">
        <v>3.2344439999999999</v>
      </c>
      <c r="R518" s="26"/>
      <c r="S518" s="26" t="s">
        <v>41</v>
      </c>
    </row>
    <row r="519" spans="1:19" hidden="1" x14ac:dyDescent="0.25">
      <c r="A519" s="29">
        <v>3216005</v>
      </c>
      <c r="B519" s="25" t="s">
        <v>1229</v>
      </c>
      <c r="C519" s="26" t="s">
        <v>12</v>
      </c>
      <c r="D519" s="24" t="s">
        <v>157</v>
      </c>
      <c r="E519" s="26" t="s">
        <v>157</v>
      </c>
      <c r="F519" s="26" t="s">
        <v>1195</v>
      </c>
      <c r="G519" s="26" t="s">
        <v>1195</v>
      </c>
      <c r="H519" s="26"/>
      <c r="I519" s="26"/>
      <c r="J519" s="26" t="s">
        <v>19</v>
      </c>
      <c r="K519" s="26" t="s">
        <v>18</v>
      </c>
      <c r="L519" s="26" t="s">
        <v>19</v>
      </c>
      <c r="M519" s="26" t="s">
        <v>18</v>
      </c>
      <c r="N519" s="26" t="s">
        <v>19</v>
      </c>
      <c r="O519" s="26" t="s">
        <v>19</v>
      </c>
      <c r="P519" s="26">
        <v>101.681944</v>
      </c>
      <c r="Q519" s="26">
        <v>3.2638889999999998</v>
      </c>
      <c r="R519" s="26"/>
      <c r="S519" s="26"/>
    </row>
    <row r="520" spans="1:19" hidden="1" x14ac:dyDescent="0.25">
      <c r="A520" s="29">
        <v>3216007</v>
      </c>
      <c r="B520" s="25" t="s">
        <v>1230</v>
      </c>
      <c r="C520" s="26" t="s">
        <v>12</v>
      </c>
      <c r="D520" s="24" t="s">
        <v>157</v>
      </c>
      <c r="E520" s="26" t="s">
        <v>157</v>
      </c>
      <c r="F520" s="26"/>
      <c r="G520" s="26"/>
      <c r="H520" s="26"/>
      <c r="I520" s="26"/>
      <c r="J520" s="26" t="s">
        <v>19</v>
      </c>
      <c r="K520" s="26" t="s">
        <v>18</v>
      </c>
      <c r="L520" s="26" t="s">
        <v>19</v>
      </c>
      <c r="M520" s="26" t="s">
        <v>19</v>
      </c>
      <c r="N520" s="26" t="s">
        <v>19</v>
      </c>
      <c r="O520" s="26" t="s">
        <v>19</v>
      </c>
      <c r="P520" s="26">
        <v>101.63283300000001</v>
      </c>
      <c r="Q520" s="26">
        <v>3.2185000000000001</v>
      </c>
      <c r="R520" s="26"/>
      <c r="S520" s="26"/>
    </row>
    <row r="521" spans="1:19" hidden="1" x14ac:dyDescent="0.25">
      <c r="A521" s="28">
        <v>3216052</v>
      </c>
      <c r="B521" s="15" t="s">
        <v>287</v>
      </c>
      <c r="C521" s="19" t="s">
        <v>12</v>
      </c>
      <c r="D521" s="21" t="s">
        <v>13</v>
      </c>
      <c r="E521" s="19" t="s">
        <v>157</v>
      </c>
      <c r="F521" s="19"/>
      <c r="G521" s="19" t="s">
        <v>69</v>
      </c>
      <c r="H521" s="19" t="s">
        <v>142</v>
      </c>
      <c r="I521" s="19" t="s">
        <v>288</v>
      </c>
      <c r="J521" s="19" t="s">
        <v>19</v>
      </c>
      <c r="K521" s="19" t="s">
        <v>19</v>
      </c>
      <c r="L521" s="19" t="s">
        <v>18</v>
      </c>
      <c r="M521" s="19" t="s">
        <v>19</v>
      </c>
      <c r="N521" s="19" t="s">
        <v>19</v>
      </c>
      <c r="O521" s="19" t="s">
        <v>19</v>
      </c>
      <c r="P521" s="19">
        <v>101.6375</v>
      </c>
      <c r="Q521" s="19">
        <v>3.2</v>
      </c>
      <c r="R521" s="19"/>
      <c r="S521" s="19" t="s">
        <v>20</v>
      </c>
    </row>
    <row r="522" spans="1:19" hidden="1" x14ac:dyDescent="0.25">
      <c r="A522" s="28">
        <v>3216061</v>
      </c>
      <c r="B522" s="15" t="s">
        <v>289</v>
      </c>
      <c r="C522" s="19" t="s">
        <v>12</v>
      </c>
      <c r="D522" s="21" t="s">
        <v>13</v>
      </c>
      <c r="E522" s="19" t="s">
        <v>259</v>
      </c>
      <c r="F522" s="19"/>
      <c r="G522" s="19" t="s">
        <v>69</v>
      </c>
      <c r="H522" s="19" t="s">
        <v>102</v>
      </c>
      <c r="I522" s="19" t="s">
        <v>290</v>
      </c>
      <c r="J522" s="19" t="s">
        <v>19</v>
      </c>
      <c r="K522" s="19" t="s">
        <v>19</v>
      </c>
      <c r="L522" s="19" t="s">
        <v>18</v>
      </c>
      <c r="M522" s="19" t="s">
        <v>19</v>
      </c>
      <c r="N522" s="19" t="s">
        <v>19</v>
      </c>
      <c r="O522" s="19" t="s">
        <v>19</v>
      </c>
      <c r="P522" s="19">
        <v>101.63888900000001</v>
      </c>
      <c r="Q522" s="19">
        <v>3.2347220000000001</v>
      </c>
      <c r="R522" s="19"/>
      <c r="S522" s="19" t="s">
        <v>291</v>
      </c>
    </row>
    <row r="523" spans="1:19" hidden="1" x14ac:dyDescent="0.25">
      <c r="A523" s="28">
        <v>3216062</v>
      </c>
      <c r="B523" s="15" t="s">
        <v>292</v>
      </c>
      <c r="C523" s="19" t="s">
        <v>12</v>
      </c>
      <c r="D523" s="21" t="s">
        <v>13</v>
      </c>
      <c r="E523" s="19" t="s">
        <v>259</v>
      </c>
      <c r="F523" s="19"/>
      <c r="G523" s="19" t="s">
        <v>69</v>
      </c>
      <c r="H523" s="19" t="s">
        <v>80</v>
      </c>
      <c r="I523" s="19" t="s">
        <v>293</v>
      </c>
      <c r="J523" s="19" t="s">
        <v>19</v>
      </c>
      <c r="K523" s="19" t="s">
        <v>19</v>
      </c>
      <c r="L523" s="19" t="s">
        <v>18</v>
      </c>
      <c r="M523" s="19" t="s">
        <v>19</v>
      </c>
      <c r="N523" s="19" t="s">
        <v>19</v>
      </c>
      <c r="O523" s="19" t="s">
        <v>19</v>
      </c>
      <c r="P523" s="19">
        <v>101.698611</v>
      </c>
      <c r="Q523" s="19">
        <v>3.2374999999999998</v>
      </c>
      <c r="R523" s="19"/>
      <c r="S523" s="19" t="s">
        <v>20</v>
      </c>
    </row>
    <row r="524" spans="1:19" hidden="1" x14ac:dyDescent="0.25">
      <c r="A524" s="29">
        <v>3216064</v>
      </c>
      <c r="B524" s="25" t="s">
        <v>1231</v>
      </c>
      <c r="C524" s="26" t="s">
        <v>12</v>
      </c>
      <c r="D524" s="24" t="s">
        <v>157</v>
      </c>
      <c r="E524" s="26" t="s">
        <v>157</v>
      </c>
      <c r="F524" s="26" t="s">
        <v>716</v>
      </c>
      <c r="G524" s="26" t="s">
        <v>716</v>
      </c>
      <c r="H524" s="26"/>
      <c r="I524" s="26"/>
      <c r="J524" s="26" t="s">
        <v>19</v>
      </c>
      <c r="K524" s="26" t="s">
        <v>18</v>
      </c>
      <c r="L524" s="26" t="s">
        <v>19</v>
      </c>
      <c r="M524" s="26" t="s">
        <v>18</v>
      </c>
      <c r="N524" s="26" t="s">
        <v>19</v>
      </c>
      <c r="O524" s="26" t="s">
        <v>19</v>
      </c>
      <c r="P524" s="26">
        <v>101.66161099999999</v>
      </c>
      <c r="Q524" s="26">
        <v>3.2351109999999998</v>
      </c>
      <c r="R524" s="26"/>
      <c r="S524" s="26"/>
    </row>
    <row r="525" spans="1:19" hidden="1" x14ac:dyDescent="0.25">
      <c r="A525" s="29">
        <v>3217001</v>
      </c>
      <c r="B525" s="25" t="s">
        <v>1232</v>
      </c>
      <c r="C525" s="26" t="s">
        <v>12</v>
      </c>
      <c r="D525" s="24" t="s">
        <v>157</v>
      </c>
      <c r="E525" s="26" t="s">
        <v>157</v>
      </c>
      <c r="F525" s="26" t="s">
        <v>295</v>
      </c>
      <c r="G525" s="26" t="s">
        <v>295</v>
      </c>
      <c r="H525" s="26" t="s">
        <v>288</v>
      </c>
      <c r="I525" s="26"/>
      <c r="J525" s="26" t="s">
        <v>18</v>
      </c>
      <c r="K525" s="26" t="s">
        <v>18</v>
      </c>
      <c r="L525" s="26" t="s">
        <v>19</v>
      </c>
      <c r="M525" s="26" t="s">
        <v>19</v>
      </c>
      <c r="N525" s="26" t="s">
        <v>18</v>
      </c>
      <c r="O525" s="26" t="s">
        <v>19</v>
      </c>
      <c r="P525" s="26">
        <v>101.729167</v>
      </c>
      <c r="Q525" s="26">
        <v>3.2680560000000001</v>
      </c>
      <c r="R525" s="26"/>
      <c r="S525" s="26" t="s">
        <v>41</v>
      </c>
    </row>
    <row r="526" spans="1:19" hidden="1" x14ac:dyDescent="0.25">
      <c r="A526" s="29">
        <v>3217002</v>
      </c>
      <c r="B526" s="25" t="s">
        <v>300</v>
      </c>
      <c r="C526" s="26" t="s">
        <v>12</v>
      </c>
      <c r="D526" s="24" t="s">
        <v>157</v>
      </c>
      <c r="E526" s="26" t="s">
        <v>157</v>
      </c>
      <c r="F526" s="26" t="s">
        <v>78</v>
      </c>
      <c r="G526" s="26" t="s">
        <v>78</v>
      </c>
      <c r="H526" s="26" t="s">
        <v>933</v>
      </c>
      <c r="I526" s="26"/>
      <c r="J526" s="26" t="s">
        <v>18</v>
      </c>
      <c r="K526" s="26" t="s">
        <v>18</v>
      </c>
      <c r="L526" s="26" t="s">
        <v>19</v>
      </c>
      <c r="M526" s="26" t="s">
        <v>18</v>
      </c>
      <c r="N526" s="26" t="s">
        <v>18</v>
      </c>
      <c r="O526" s="26" t="s">
        <v>19</v>
      </c>
      <c r="P526" s="26">
        <v>101.75277800000001</v>
      </c>
      <c r="Q526" s="26">
        <v>3.2361110000000002</v>
      </c>
      <c r="R526" s="26"/>
      <c r="S526" s="26" t="s">
        <v>41</v>
      </c>
    </row>
    <row r="527" spans="1:19" hidden="1" x14ac:dyDescent="0.25">
      <c r="A527" s="29">
        <v>3217003</v>
      </c>
      <c r="B527" s="25" t="s">
        <v>1233</v>
      </c>
      <c r="C527" s="26" t="s">
        <v>12</v>
      </c>
      <c r="D527" s="24" t="s">
        <v>157</v>
      </c>
      <c r="E527" s="26" t="s">
        <v>157</v>
      </c>
      <c r="F527" s="26" t="s">
        <v>295</v>
      </c>
      <c r="G527" s="26" t="s">
        <v>295</v>
      </c>
      <c r="H527" s="26" t="s">
        <v>850</v>
      </c>
      <c r="I527" s="26"/>
      <c r="J527" s="26" t="s">
        <v>18</v>
      </c>
      <c r="K527" s="26" t="s">
        <v>18</v>
      </c>
      <c r="L527" s="26" t="s">
        <v>19</v>
      </c>
      <c r="M527" s="26" t="s">
        <v>19</v>
      </c>
      <c r="N527" s="26" t="s">
        <v>18</v>
      </c>
      <c r="O527" s="26" t="s">
        <v>19</v>
      </c>
      <c r="P527" s="26">
        <v>101.71388899999999</v>
      </c>
      <c r="Q527" s="26">
        <v>3.2361110000000002</v>
      </c>
      <c r="R527" s="26"/>
      <c r="S527" s="26" t="s">
        <v>41</v>
      </c>
    </row>
    <row r="528" spans="1:19" hidden="1" x14ac:dyDescent="0.25">
      <c r="A528" s="29">
        <v>3217004</v>
      </c>
      <c r="B528" s="25" t="s">
        <v>1234</v>
      </c>
      <c r="C528" s="26" t="s">
        <v>12</v>
      </c>
      <c r="D528" s="24" t="s">
        <v>157</v>
      </c>
      <c r="E528" s="26" t="s">
        <v>157</v>
      </c>
      <c r="F528" s="26" t="s">
        <v>78</v>
      </c>
      <c r="G528" s="26" t="s">
        <v>78</v>
      </c>
      <c r="H528" s="26" t="s">
        <v>917</v>
      </c>
      <c r="I528" s="26"/>
      <c r="J528" s="26" t="s">
        <v>18</v>
      </c>
      <c r="K528" s="26" t="s">
        <v>18</v>
      </c>
      <c r="L528" s="26" t="s">
        <v>19</v>
      </c>
      <c r="M528" s="26" t="s">
        <v>18</v>
      </c>
      <c r="N528" s="26" t="s">
        <v>18</v>
      </c>
      <c r="O528" s="26" t="s">
        <v>19</v>
      </c>
      <c r="P528" s="26">
        <v>101.768056</v>
      </c>
      <c r="Q528" s="26">
        <v>3.2583329999999999</v>
      </c>
      <c r="R528" s="26"/>
      <c r="S528" s="26" t="s">
        <v>41</v>
      </c>
    </row>
    <row r="529" spans="1:19" ht="30" hidden="1" x14ac:dyDescent="0.25">
      <c r="A529" s="29">
        <v>3217005</v>
      </c>
      <c r="B529" s="25" t="s">
        <v>1235</v>
      </c>
      <c r="C529" s="26" t="s">
        <v>12</v>
      </c>
      <c r="D529" s="24" t="s">
        <v>157</v>
      </c>
      <c r="E529" s="26" t="s">
        <v>157</v>
      </c>
      <c r="F529" s="26" t="s">
        <v>295</v>
      </c>
      <c r="G529" s="26" t="s">
        <v>69</v>
      </c>
      <c r="H529" s="26" t="s">
        <v>133</v>
      </c>
      <c r="I529" s="26"/>
      <c r="J529" s="26" t="s">
        <v>19</v>
      </c>
      <c r="K529" s="26" t="s">
        <v>18</v>
      </c>
      <c r="L529" s="26" t="s">
        <v>19</v>
      </c>
      <c r="M529" s="26" t="s">
        <v>19</v>
      </c>
      <c r="N529" s="26" t="s">
        <v>19</v>
      </c>
      <c r="O529" s="26" t="s">
        <v>19</v>
      </c>
      <c r="P529" s="26">
        <v>101.715278</v>
      </c>
      <c r="Q529" s="26">
        <v>3.2458330000000002</v>
      </c>
      <c r="R529" s="26"/>
      <c r="S529" s="26" t="s">
        <v>41</v>
      </c>
    </row>
    <row r="530" spans="1:19" hidden="1" x14ac:dyDescent="0.25">
      <c r="A530" s="29">
        <v>3217008</v>
      </c>
      <c r="B530" s="25" t="s">
        <v>1236</v>
      </c>
      <c r="C530" s="26" t="s">
        <v>12</v>
      </c>
      <c r="D530" s="24" t="s">
        <v>157</v>
      </c>
      <c r="E530" s="26" t="s">
        <v>157</v>
      </c>
      <c r="F530" s="26"/>
      <c r="G530" s="26"/>
      <c r="H530" s="26"/>
      <c r="I530" s="26"/>
      <c r="J530" s="26" t="s">
        <v>19</v>
      </c>
      <c r="K530" s="26" t="s">
        <v>18</v>
      </c>
      <c r="L530" s="26" t="s">
        <v>19</v>
      </c>
      <c r="M530" s="26" t="s">
        <v>19</v>
      </c>
      <c r="N530" s="26" t="s">
        <v>19</v>
      </c>
      <c r="O530" s="26" t="s">
        <v>19</v>
      </c>
      <c r="P530" s="26">
        <v>101.665194</v>
      </c>
      <c r="Q530" s="26">
        <v>3.0809169999999999</v>
      </c>
      <c r="R530" s="26"/>
      <c r="S530" s="26"/>
    </row>
    <row r="531" spans="1:19" hidden="1" x14ac:dyDescent="0.25">
      <c r="A531" s="28">
        <v>3217064</v>
      </c>
      <c r="B531" s="15" t="s">
        <v>294</v>
      </c>
      <c r="C531" s="19" t="s">
        <v>12</v>
      </c>
      <c r="D531" s="21" t="s">
        <v>13</v>
      </c>
      <c r="E531" s="19" t="s">
        <v>259</v>
      </c>
      <c r="F531" s="19" t="s">
        <v>295</v>
      </c>
      <c r="G531" s="19" t="s">
        <v>69</v>
      </c>
      <c r="H531" s="19" t="s">
        <v>296</v>
      </c>
      <c r="I531" s="19" t="s">
        <v>143</v>
      </c>
      <c r="J531" s="19" t="s">
        <v>19</v>
      </c>
      <c r="K531" s="19" t="s">
        <v>19</v>
      </c>
      <c r="L531" s="19" t="s">
        <v>18</v>
      </c>
      <c r="M531" s="19" t="s">
        <v>19</v>
      </c>
      <c r="N531" s="19" t="s">
        <v>19</v>
      </c>
      <c r="O531" s="19" t="s">
        <v>19</v>
      </c>
      <c r="P531" s="19">
        <v>101.731944</v>
      </c>
      <c r="Q531" s="19">
        <v>3.293056</v>
      </c>
      <c r="R531" s="19"/>
      <c r="S531" s="19" t="s">
        <v>297</v>
      </c>
    </row>
    <row r="532" spans="1:19" hidden="1" x14ac:dyDescent="0.25">
      <c r="A532" s="28">
        <v>3217065</v>
      </c>
      <c r="B532" s="15" t="s">
        <v>298</v>
      </c>
      <c r="C532" s="19" t="s">
        <v>12</v>
      </c>
      <c r="D532" s="21" t="s">
        <v>13</v>
      </c>
      <c r="E532" s="19" t="s">
        <v>157</v>
      </c>
      <c r="F532" s="19" t="s">
        <v>295</v>
      </c>
      <c r="G532" s="19" t="s">
        <v>69</v>
      </c>
      <c r="H532" s="19" t="s">
        <v>299</v>
      </c>
      <c r="I532" s="19" t="s">
        <v>293</v>
      </c>
      <c r="J532" s="19" t="s">
        <v>19</v>
      </c>
      <c r="K532" s="19" t="s">
        <v>19</v>
      </c>
      <c r="L532" s="19" t="s">
        <v>18</v>
      </c>
      <c r="M532" s="19" t="s">
        <v>19</v>
      </c>
      <c r="N532" s="19" t="s">
        <v>19</v>
      </c>
      <c r="O532" s="19" t="s">
        <v>19</v>
      </c>
      <c r="P532" s="19">
        <v>101.738889</v>
      </c>
      <c r="Q532" s="19">
        <v>3.2166670000000002</v>
      </c>
      <c r="R532" s="19"/>
      <c r="S532" s="19" t="s">
        <v>20</v>
      </c>
    </row>
    <row r="533" spans="1:19" hidden="1" x14ac:dyDescent="0.25">
      <c r="A533" s="28">
        <v>3217067</v>
      </c>
      <c r="B533" s="15" t="s">
        <v>300</v>
      </c>
      <c r="C533" s="19" t="s">
        <v>12</v>
      </c>
      <c r="D533" s="21" t="s">
        <v>13</v>
      </c>
      <c r="E533" s="19" t="s">
        <v>259</v>
      </c>
      <c r="F533" s="19" t="s">
        <v>78</v>
      </c>
      <c r="G533" s="19" t="s">
        <v>69</v>
      </c>
      <c r="H533" s="19" t="s">
        <v>301</v>
      </c>
      <c r="I533" s="19" t="s">
        <v>302</v>
      </c>
      <c r="J533" s="19" t="s">
        <v>19</v>
      </c>
      <c r="K533" s="19" t="s">
        <v>19</v>
      </c>
      <c r="L533" s="19" t="s">
        <v>19</v>
      </c>
      <c r="M533" s="19" t="s">
        <v>19</v>
      </c>
      <c r="N533" s="19" t="s">
        <v>19</v>
      </c>
      <c r="O533" s="19" t="s">
        <v>19</v>
      </c>
      <c r="P533" s="19">
        <v>101.75833299999999</v>
      </c>
      <c r="Q533" s="19">
        <v>3.2361110000000002</v>
      </c>
      <c r="R533" s="19"/>
      <c r="S533" s="19" t="s">
        <v>41</v>
      </c>
    </row>
    <row r="534" spans="1:19" hidden="1" x14ac:dyDescent="0.25">
      <c r="A534" s="29">
        <v>3217068</v>
      </c>
      <c r="B534" s="25" t="s">
        <v>1237</v>
      </c>
      <c r="C534" s="26" t="s">
        <v>12</v>
      </c>
      <c r="D534" s="24" t="s">
        <v>157</v>
      </c>
      <c r="E534" s="26" t="s">
        <v>157</v>
      </c>
      <c r="F534" s="26" t="s">
        <v>295</v>
      </c>
      <c r="G534" s="26" t="s">
        <v>295</v>
      </c>
      <c r="H534" s="26"/>
      <c r="I534" s="26"/>
      <c r="J534" s="26" t="s">
        <v>19</v>
      </c>
      <c r="K534" s="26" t="s">
        <v>18</v>
      </c>
      <c r="L534" s="26" t="s">
        <v>19</v>
      </c>
      <c r="M534" s="26" t="s">
        <v>18</v>
      </c>
      <c r="N534" s="26" t="s">
        <v>19</v>
      </c>
      <c r="O534" s="26" t="s">
        <v>19</v>
      </c>
      <c r="P534" s="26">
        <v>101.715278</v>
      </c>
      <c r="Q534" s="26">
        <v>3.2452779999999999</v>
      </c>
      <c r="R534" s="26"/>
      <c r="S534" s="26"/>
    </row>
    <row r="535" spans="1:19" hidden="1" x14ac:dyDescent="0.25">
      <c r="A535" s="28">
        <v>3218101</v>
      </c>
      <c r="B535" s="15" t="s">
        <v>303</v>
      </c>
      <c r="C535" s="19" t="s">
        <v>12</v>
      </c>
      <c r="D535" s="21" t="s">
        <v>13</v>
      </c>
      <c r="E535" s="19" t="s">
        <v>51</v>
      </c>
      <c r="F535" s="19" t="s">
        <v>43</v>
      </c>
      <c r="G535" s="19" t="s">
        <v>43</v>
      </c>
      <c r="H535" s="19"/>
      <c r="I535" s="19"/>
      <c r="J535" s="19" t="s">
        <v>19</v>
      </c>
      <c r="K535" s="19" t="s">
        <v>18</v>
      </c>
      <c r="L535" s="19" t="s">
        <v>19</v>
      </c>
      <c r="M535" s="19" t="s">
        <v>18</v>
      </c>
      <c r="N535" s="19" t="s">
        <v>19</v>
      </c>
      <c r="O535" s="19" t="s">
        <v>19</v>
      </c>
      <c r="P535" s="19">
        <v>101.875861</v>
      </c>
      <c r="Q535" s="19">
        <v>3.2096390000000001</v>
      </c>
      <c r="R535" s="19"/>
      <c r="S535" s="19"/>
    </row>
    <row r="536" spans="1:19" hidden="1" x14ac:dyDescent="0.25">
      <c r="A536" s="28">
        <v>3220001</v>
      </c>
      <c r="B536" s="15" t="s">
        <v>1495</v>
      </c>
      <c r="C536" s="19" t="s">
        <v>12</v>
      </c>
      <c r="D536" s="21" t="s">
        <v>1363</v>
      </c>
      <c r="E536" s="19" t="s">
        <v>1481</v>
      </c>
      <c r="F536" s="19" t="s">
        <v>1496</v>
      </c>
      <c r="G536" s="19" t="s">
        <v>1463</v>
      </c>
      <c r="H536" s="19"/>
      <c r="I536" s="19"/>
      <c r="J536" s="19" t="s">
        <v>19</v>
      </c>
      <c r="K536" s="19" t="s">
        <v>18</v>
      </c>
      <c r="L536" s="19" t="s">
        <v>19</v>
      </c>
      <c r="M536" s="19" t="s">
        <v>18</v>
      </c>
      <c r="N536" s="19" t="s">
        <v>19</v>
      </c>
      <c r="O536" s="19" t="s">
        <v>19</v>
      </c>
      <c r="P536" s="19">
        <v>102.08</v>
      </c>
      <c r="Q536" s="19">
        <v>3.29</v>
      </c>
      <c r="R536" s="19"/>
      <c r="S536" s="19"/>
    </row>
    <row r="537" spans="1:19" hidden="1" x14ac:dyDescent="0.25">
      <c r="A537" s="28">
        <v>3221001</v>
      </c>
      <c r="B537" s="15" t="s">
        <v>1497</v>
      </c>
      <c r="C537" s="19" t="s">
        <v>12</v>
      </c>
      <c r="D537" s="21" t="s">
        <v>1363</v>
      </c>
      <c r="E537" s="19" t="s">
        <v>1481</v>
      </c>
      <c r="F537" s="19" t="s">
        <v>1498</v>
      </c>
      <c r="G537" s="19" t="s">
        <v>1481</v>
      </c>
      <c r="H537" s="19" t="s">
        <v>1499</v>
      </c>
      <c r="I537" s="19"/>
      <c r="J537" s="19" t="s">
        <v>18</v>
      </c>
      <c r="K537" s="19" t="s">
        <v>18</v>
      </c>
      <c r="L537" s="19" t="s">
        <v>18</v>
      </c>
      <c r="M537" s="19" t="s">
        <v>19</v>
      </c>
      <c r="N537" s="19" t="s">
        <v>19</v>
      </c>
      <c r="O537" s="19" t="s">
        <v>19</v>
      </c>
      <c r="P537" s="19">
        <v>102.16249999999999</v>
      </c>
      <c r="Q537" s="19">
        <v>3.2027779999999999</v>
      </c>
      <c r="R537" s="19"/>
      <c r="S537" s="19" t="s">
        <v>41</v>
      </c>
    </row>
    <row r="538" spans="1:19" hidden="1" x14ac:dyDescent="0.25">
      <c r="A538" s="28">
        <v>3221141</v>
      </c>
      <c r="B538" s="15" t="s">
        <v>1500</v>
      </c>
      <c r="C538" s="19" t="s">
        <v>12</v>
      </c>
      <c r="D538" s="21" t="s">
        <v>1363</v>
      </c>
      <c r="E538" s="19" t="s">
        <v>1481</v>
      </c>
      <c r="F538" s="19" t="s">
        <v>1498</v>
      </c>
      <c r="G538" s="19" t="s">
        <v>1481</v>
      </c>
      <c r="H538" s="19" t="s">
        <v>1501</v>
      </c>
      <c r="I538" s="19" t="s">
        <v>604</v>
      </c>
      <c r="J538" s="19" t="s">
        <v>19</v>
      </c>
      <c r="K538" s="19" t="s">
        <v>19</v>
      </c>
      <c r="L538" s="19" t="s">
        <v>18</v>
      </c>
      <c r="M538" s="19" t="s">
        <v>19</v>
      </c>
      <c r="N538" s="19" t="s">
        <v>19</v>
      </c>
      <c r="O538" s="19" t="s">
        <v>19</v>
      </c>
      <c r="P538" s="19">
        <v>102.16249999999999</v>
      </c>
      <c r="Q538" s="19">
        <v>3.2027779999999999</v>
      </c>
      <c r="R538" s="19"/>
      <c r="S538" s="19" t="s">
        <v>164</v>
      </c>
    </row>
    <row r="539" spans="1:19" hidden="1" x14ac:dyDescent="0.25">
      <c r="A539" s="28">
        <v>3223084</v>
      </c>
      <c r="B539" s="15" t="s">
        <v>1502</v>
      </c>
      <c r="C539" s="19" t="s">
        <v>12</v>
      </c>
      <c r="D539" s="21" t="s">
        <v>1363</v>
      </c>
      <c r="E539" s="19" t="s">
        <v>1486</v>
      </c>
      <c r="F539" s="19" t="s">
        <v>1482</v>
      </c>
      <c r="G539" s="19" t="s">
        <v>1363</v>
      </c>
      <c r="H539" s="19" t="s">
        <v>494</v>
      </c>
      <c r="I539" s="19"/>
      <c r="J539" s="19" t="s">
        <v>18</v>
      </c>
      <c r="K539" s="19" t="s">
        <v>18</v>
      </c>
      <c r="L539" s="19" t="s">
        <v>18</v>
      </c>
      <c r="M539" s="19" t="s">
        <v>19</v>
      </c>
      <c r="N539" s="19" t="s">
        <v>19</v>
      </c>
      <c r="O539" s="19" t="s">
        <v>19</v>
      </c>
      <c r="P539" s="19">
        <v>102.397222</v>
      </c>
      <c r="Q539" s="19">
        <v>3.2972220000000001</v>
      </c>
      <c r="R539" s="19"/>
      <c r="S539" s="19" t="s">
        <v>20</v>
      </c>
    </row>
    <row r="540" spans="1:19" hidden="1" x14ac:dyDescent="0.25">
      <c r="A540" s="28">
        <v>3223152</v>
      </c>
      <c r="B540" s="15" t="s">
        <v>1503</v>
      </c>
      <c r="C540" s="19" t="s">
        <v>12</v>
      </c>
      <c r="D540" s="21" t="s">
        <v>1363</v>
      </c>
      <c r="E540" s="19" t="s">
        <v>1486</v>
      </c>
      <c r="F540" s="19" t="s">
        <v>1482</v>
      </c>
      <c r="G540" s="19" t="s">
        <v>1363</v>
      </c>
      <c r="H540" s="19" t="s">
        <v>1504</v>
      </c>
      <c r="I540" s="19" t="s">
        <v>1505</v>
      </c>
      <c r="J540" s="19" t="s">
        <v>19</v>
      </c>
      <c r="K540" s="19" t="s">
        <v>19</v>
      </c>
      <c r="L540" s="19" t="s">
        <v>18</v>
      </c>
      <c r="M540" s="19" t="s">
        <v>19</v>
      </c>
      <c r="N540" s="19" t="s">
        <v>19</v>
      </c>
      <c r="O540" s="19" t="s">
        <v>19</v>
      </c>
      <c r="P540" s="19">
        <v>102.39444399999999</v>
      </c>
      <c r="Q540" s="19">
        <v>3.2472219999999998</v>
      </c>
      <c r="R540" s="19"/>
      <c r="S540" s="19" t="s">
        <v>20</v>
      </c>
    </row>
    <row r="541" spans="1:19" hidden="1" x14ac:dyDescent="0.25">
      <c r="A541" s="28">
        <v>3224033</v>
      </c>
      <c r="B541" s="15" t="s">
        <v>1506</v>
      </c>
      <c r="C541" s="19" t="s">
        <v>12</v>
      </c>
      <c r="D541" s="21" t="s">
        <v>1363</v>
      </c>
      <c r="E541" s="19" t="s">
        <v>1468</v>
      </c>
      <c r="F541" s="19" t="s">
        <v>1507</v>
      </c>
      <c r="G541" s="19" t="s">
        <v>1463</v>
      </c>
      <c r="H541" s="19"/>
      <c r="I541" s="19"/>
      <c r="J541" s="19" t="s">
        <v>19</v>
      </c>
      <c r="K541" s="19" t="s">
        <v>18</v>
      </c>
      <c r="L541" s="19" t="s">
        <v>19</v>
      </c>
      <c r="M541" s="19" t="s">
        <v>18</v>
      </c>
      <c r="N541" s="19" t="s">
        <v>19</v>
      </c>
      <c r="O541" s="19" t="s">
        <v>19</v>
      </c>
      <c r="P541" s="19">
        <v>102.4</v>
      </c>
      <c r="Q541" s="19">
        <v>3.23</v>
      </c>
      <c r="R541" s="19"/>
      <c r="S541" s="19"/>
    </row>
    <row r="542" spans="1:19" hidden="1" x14ac:dyDescent="0.25">
      <c r="A542" s="28">
        <v>3228174</v>
      </c>
      <c r="B542" s="15" t="s">
        <v>1508</v>
      </c>
      <c r="C542" s="19" t="s">
        <v>12</v>
      </c>
      <c r="D542" s="21" t="s">
        <v>1363</v>
      </c>
      <c r="E542" s="19" t="s">
        <v>1425</v>
      </c>
      <c r="F542" s="19" t="s">
        <v>1509</v>
      </c>
      <c r="G542" s="19" t="s">
        <v>1425</v>
      </c>
      <c r="H542" s="19" t="s">
        <v>1444</v>
      </c>
      <c r="I542" s="19"/>
      <c r="J542" s="19" t="s">
        <v>18</v>
      </c>
      <c r="K542" s="19" t="s">
        <v>18</v>
      </c>
      <c r="L542" s="19" t="s">
        <v>19</v>
      </c>
      <c r="M542" s="19" t="s">
        <v>19</v>
      </c>
      <c r="N542" s="19" t="s">
        <v>18</v>
      </c>
      <c r="O542" s="19" t="s">
        <v>19</v>
      </c>
      <c r="P542" s="19">
        <v>102.822222</v>
      </c>
      <c r="Q542" s="19">
        <v>3.2986110000000002</v>
      </c>
      <c r="R542" s="19"/>
      <c r="S542" s="19" t="s">
        <v>41</v>
      </c>
    </row>
    <row r="543" spans="1:19" hidden="1" x14ac:dyDescent="0.25">
      <c r="A543" s="28">
        <v>3230164</v>
      </c>
      <c r="B543" s="15" t="s">
        <v>1510</v>
      </c>
      <c r="C543" s="19" t="s">
        <v>12</v>
      </c>
      <c r="D543" s="21" t="s">
        <v>1363</v>
      </c>
      <c r="E543" s="19" t="s">
        <v>1442</v>
      </c>
      <c r="F543" s="19" t="s">
        <v>1475</v>
      </c>
      <c r="G543" s="19" t="s">
        <v>1425</v>
      </c>
      <c r="H543" s="19" t="s">
        <v>1444</v>
      </c>
      <c r="I543" s="19" t="s">
        <v>1511</v>
      </c>
      <c r="J543" s="19" t="s">
        <v>19</v>
      </c>
      <c r="K543" s="19" t="s">
        <v>19</v>
      </c>
      <c r="L543" s="19" t="s">
        <v>18</v>
      </c>
      <c r="M543" s="19" t="s">
        <v>19</v>
      </c>
      <c r="N543" s="19" t="s">
        <v>19</v>
      </c>
      <c r="O543" s="19" t="s">
        <v>19</v>
      </c>
      <c r="P543" s="19">
        <v>103.068056</v>
      </c>
      <c r="Q543" s="19">
        <v>3.286111</v>
      </c>
      <c r="R543" s="19"/>
      <c r="S543" s="19" t="s">
        <v>41</v>
      </c>
    </row>
    <row r="544" spans="1:19" hidden="1" x14ac:dyDescent="0.25">
      <c r="A544" s="28">
        <v>3231163</v>
      </c>
      <c r="B544" s="15" t="s">
        <v>1512</v>
      </c>
      <c r="C544" s="19" t="s">
        <v>12</v>
      </c>
      <c r="D544" s="21" t="s">
        <v>1363</v>
      </c>
      <c r="E544" s="19" t="s">
        <v>1442</v>
      </c>
      <c r="F544" s="19" t="s">
        <v>1492</v>
      </c>
      <c r="G544" s="19" t="s">
        <v>1493</v>
      </c>
      <c r="H544" s="19" t="s">
        <v>1444</v>
      </c>
      <c r="I544" s="19"/>
      <c r="J544" s="19" t="s">
        <v>18</v>
      </c>
      <c r="K544" s="19" t="s">
        <v>18</v>
      </c>
      <c r="L544" s="19" t="s">
        <v>19</v>
      </c>
      <c r="M544" s="19" t="s">
        <v>19</v>
      </c>
      <c r="N544" s="19" t="s">
        <v>18</v>
      </c>
      <c r="O544" s="19" t="s">
        <v>19</v>
      </c>
      <c r="P544" s="19">
        <v>103.188889</v>
      </c>
      <c r="Q544" s="19">
        <v>3.2875000000000001</v>
      </c>
      <c r="R544" s="19"/>
      <c r="S544" s="19" t="s">
        <v>41</v>
      </c>
    </row>
    <row r="545" spans="1:19" hidden="1" x14ac:dyDescent="0.25">
      <c r="A545" s="28">
        <v>3234162</v>
      </c>
      <c r="B545" s="15" t="s">
        <v>1513</v>
      </c>
      <c r="C545" s="19" t="s">
        <v>12</v>
      </c>
      <c r="D545" s="21" t="s">
        <v>1363</v>
      </c>
      <c r="E545" s="19" t="s">
        <v>1442</v>
      </c>
      <c r="F545" s="19"/>
      <c r="G545" s="19"/>
      <c r="H545" s="19" t="s">
        <v>1514</v>
      </c>
      <c r="I545" s="19"/>
      <c r="J545" s="19" t="s">
        <v>18</v>
      </c>
      <c r="K545" s="19" t="s">
        <v>18</v>
      </c>
      <c r="L545" s="19" t="s">
        <v>18</v>
      </c>
      <c r="M545" s="19" t="s">
        <v>19</v>
      </c>
      <c r="N545" s="19" t="s">
        <v>19</v>
      </c>
      <c r="O545" s="19" t="s">
        <v>19</v>
      </c>
      <c r="P545" s="19">
        <v>103.444444</v>
      </c>
      <c r="Q545" s="19">
        <v>3.2055560000000001</v>
      </c>
      <c r="R545" s="19"/>
      <c r="S545" s="19" t="s">
        <v>41</v>
      </c>
    </row>
    <row r="546" spans="1:19" hidden="1" x14ac:dyDescent="0.25">
      <c r="A546" s="28">
        <v>3312042</v>
      </c>
      <c r="B546" s="15" t="s">
        <v>304</v>
      </c>
      <c r="C546" s="19" t="s">
        <v>12</v>
      </c>
      <c r="D546" s="21" t="s">
        <v>13</v>
      </c>
      <c r="E546" s="19" t="s">
        <v>209</v>
      </c>
      <c r="F546" s="19" t="s">
        <v>305</v>
      </c>
      <c r="G546" s="19" t="s">
        <v>13</v>
      </c>
      <c r="H546" s="19" t="s">
        <v>306</v>
      </c>
      <c r="I546" s="19"/>
      <c r="J546" s="19" t="s">
        <v>18</v>
      </c>
      <c r="K546" s="19" t="s">
        <v>18</v>
      </c>
      <c r="L546" s="19" t="s">
        <v>19</v>
      </c>
      <c r="M546" s="19" t="s">
        <v>19</v>
      </c>
      <c r="N546" s="19" t="s">
        <v>18</v>
      </c>
      <c r="O546" s="19" t="s">
        <v>19</v>
      </c>
      <c r="P546" s="19">
        <v>101.27466699999999</v>
      </c>
      <c r="Q546" s="19">
        <v>3.3958330000000001</v>
      </c>
      <c r="R546" s="19"/>
      <c r="S546" s="19" t="s">
        <v>20</v>
      </c>
    </row>
    <row r="547" spans="1:19" hidden="1" x14ac:dyDescent="0.25">
      <c r="A547" s="28">
        <v>3312044</v>
      </c>
      <c r="B547" s="15" t="s">
        <v>307</v>
      </c>
      <c r="C547" s="19" t="s">
        <v>12</v>
      </c>
      <c r="D547" s="21" t="s">
        <v>13</v>
      </c>
      <c r="E547" s="19" t="s">
        <v>209</v>
      </c>
      <c r="F547" s="19" t="s">
        <v>305</v>
      </c>
      <c r="G547" s="19" t="s">
        <v>13</v>
      </c>
      <c r="H547" s="19" t="s">
        <v>308</v>
      </c>
      <c r="I547" s="19" t="s">
        <v>309</v>
      </c>
      <c r="J547" s="19" t="s">
        <v>19</v>
      </c>
      <c r="K547" s="19" t="s">
        <v>19</v>
      </c>
      <c r="L547" s="19" t="s">
        <v>18</v>
      </c>
      <c r="M547" s="19" t="s">
        <v>19</v>
      </c>
      <c r="N547" s="19" t="s">
        <v>19</v>
      </c>
      <c r="O547" s="19" t="s">
        <v>19</v>
      </c>
      <c r="P547" s="19">
        <v>101.268056</v>
      </c>
      <c r="Q547" s="19">
        <v>3.35</v>
      </c>
      <c r="R547" s="19"/>
      <c r="S547" s="19" t="s">
        <v>20</v>
      </c>
    </row>
    <row r="548" spans="1:19" hidden="1" x14ac:dyDescent="0.25">
      <c r="A548" s="28">
        <v>3312045</v>
      </c>
      <c r="B548" s="15" t="s">
        <v>2647</v>
      </c>
      <c r="C548" s="19" t="s">
        <v>12</v>
      </c>
      <c r="D548" s="21" t="s">
        <v>13</v>
      </c>
      <c r="E548" s="19" t="s">
        <v>209</v>
      </c>
      <c r="F548" s="19" t="s">
        <v>305</v>
      </c>
      <c r="G548" s="19" t="s">
        <v>13</v>
      </c>
      <c r="H548" s="19" t="s">
        <v>1858</v>
      </c>
      <c r="I548" s="19"/>
      <c r="J548" s="19" t="s">
        <v>18</v>
      </c>
      <c r="K548" s="19" t="s">
        <v>18</v>
      </c>
      <c r="L548" s="19" t="s">
        <v>19</v>
      </c>
      <c r="M548" s="19" t="s">
        <v>19</v>
      </c>
      <c r="N548" s="19" t="s">
        <v>18</v>
      </c>
      <c r="O548" s="19" t="s">
        <v>19</v>
      </c>
      <c r="P548" s="19">
        <v>101.25619399999999</v>
      </c>
      <c r="Q548" s="19">
        <v>3.3362780000000001</v>
      </c>
      <c r="R548" s="19"/>
      <c r="S548" s="19" t="s">
        <v>41</v>
      </c>
    </row>
    <row r="549" spans="1:19" hidden="1" x14ac:dyDescent="0.25">
      <c r="A549" s="28">
        <v>3312046</v>
      </c>
      <c r="B549" s="15" t="s">
        <v>310</v>
      </c>
      <c r="C549" s="19" t="s">
        <v>12</v>
      </c>
      <c r="D549" s="21" t="s">
        <v>13</v>
      </c>
      <c r="E549" s="19" t="s">
        <v>209</v>
      </c>
      <c r="F549" s="19" t="s">
        <v>305</v>
      </c>
      <c r="G549" s="19" t="s">
        <v>305</v>
      </c>
      <c r="H549" s="19"/>
      <c r="I549" s="19"/>
      <c r="J549" s="19" t="s">
        <v>19</v>
      </c>
      <c r="K549" s="19" t="s">
        <v>18</v>
      </c>
      <c r="L549" s="19" t="s">
        <v>19</v>
      </c>
      <c r="M549" s="19" t="s">
        <v>18</v>
      </c>
      <c r="N549" s="19" t="s">
        <v>19</v>
      </c>
      <c r="O549" s="19" t="s">
        <v>19</v>
      </c>
      <c r="P549" s="19">
        <v>101.269111</v>
      </c>
      <c r="Q549" s="19">
        <v>3.3425280000000002</v>
      </c>
      <c r="R549" s="19"/>
      <c r="S549" s="19"/>
    </row>
    <row r="550" spans="1:19" hidden="1" x14ac:dyDescent="0.25">
      <c r="A550" s="28">
        <v>3313039</v>
      </c>
      <c r="B550" s="15" t="s">
        <v>311</v>
      </c>
      <c r="C550" s="19" t="s">
        <v>12</v>
      </c>
      <c r="D550" s="21" t="s">
        <v>13</v>
      </c>
      <c r="E550" s="19" t="s">
        <v>209</v>
      </c>
      <c r="F550" s="19" t="s">
        <v>305</v>
      </c>
      <c r="G550" s="19" t="s">
        <v>13</v>
      </c>
      <c r="H550" s="19" t="s">
        <v>312</v>
      </c>
      <c r="I550" s="19" t="s">
        <v>23</v>
      </c>
      <c r="J550" s="19" t="s">
        <v>19</v>
      </c>
      <c r="K550" s="19" t="s">
        <v>19</v>
      </c>
      <c r="L550" s="19" t="s">
        <v>18</v>
      </c>
      <c r="M550" s="19" t="s">
        <v>19</v>
      </c>
      <c r="N550" s="19" t="s">
        <v>19</v>
      </c>
      <c r="O550" s="19" t="s">
        <v>19</v>
      </c>
      <c r="P550" s="19">
        <v>101.390278</v>
      </c>
      <c r="Q550" s="19">
        <v>3.348611</v>
      </c>
      <c r="R550" s="19"/>
      <c r="S550" s="19" t="s">
        <v>20</v>
      </c>
    </row>
    <row r="551" spans="1:19" hidden="1" x14ac:dyDescent="0.25">
      <c r="A551" s="28">
        <v>3313040</v>
      </c>
      <c r="B551" s="15" t="s">
        <v>313</v>
      </c>
      <c r="C551" s="19" t="s">
        <v>12</v>
      </c>
      <c r="D551" s="21" t="s">
        <v>13</v>
      </c>
      <c r="E551" s="19" t="s">
        <v>209</v>
      </c>
      <c r="F551" s="19" t="s">
        <v>305</v>
      </c>
      <c r="G551" s="19" t="s">
        <v>13</v>
      </c>
      <c r="H551" s="19" t="s">
        <v>102</v>
      </c>
      <c r="I551" s="19"/>
      <c r="J551" s="19" t="s">
        <v>18</v>
      </c>
      <c r="K551" s="19" t="s">
        <v>18</v>
      </c>
      <c r="L551" s="19" t="s">
        <v>19</v>
      </c>
      <c r="M551" s="19" t="s">
        <v>19</v>
      </c>
      <c r="N551" s="19" t="s">
        <v>18</v>
      </c>
      <c r="O551" s="19" t="s">
        <v>19</v>
      </c>
      <c r="P551" s="19">
        <v>101.311778</v>
      </c>
      <c r="Q551" s="19">
        <v>3.3952779999999998</v>
      </c>
      <c r="R551" s="19"/>
      <c r="S551" s="19" t="s">
        <v>20</v>
      </c>
    </row>
    <row r="552" spans="1:19" hidden="1" x14ac:dyDescent="0.25">
      <c r="A552" s="28">
        <v>3313043</v>
      </c>
      <c r="B552" s="15" t="s">
        <v>314</v>
      </c>
      <c r="C552" s="19" t="s">
        <v>12</v>
      </c>
      <c r="D552" s="21" t="s">
        <v>13</v>
      </c>
      <c r="E552" s="19" t="s">
        <v>209</v>
      </c>
      <c r="F552" s="19" t="s">
        <v>305</v>
      </c>
      <c r="G552" s="19" t="s">
        <v>13</v>
      </c>
      <c r="H552" s="19" t="s">
        <v>142</v>
      </c>
      <c r="I552" s="19"/>
      <c r="J552" s="19" t="s">
        <v>18</v>
      </c>
      <c r="K552" s="19" t="s">
        <v>18</v>
      </c>
      <c r="L552" s="19" t="s">
        <v>19</v>
      </c>
      <c r="M552" s="19" t="s">
        <v>19</v>
      </c>
      <c r="N552" s="19" t="s">
        <v>18</v>
      </c>
      <c r="O552" s="19" t="s">
        <v>19</v>
      </c>
      <c r="P552" s="19">
        <v>101.30497200000001</v>
      </c>
      <c r="Q552" s="19">
        <v>3.3077779999999999</v>
      </c>
      <c r="R552" s="19"/>
      <c r="S552" s="19" t="s">
        <v>20</v>
      </c>
    </row>
    <row r="553" spans="1:19" hidden="1" x14ac:dyDescent="0.25">
      <c r="A553" s="28">
        <v>3313045</v>
      </c>
      <c r="B553" s="15" t="s">
        <v>315</v>
      </c>
      <c r="C553" s="19" t="s">
        <v>12</v>
      </c>
      <c r="D553" s="21" t="s">
        <v>13</v>
      </c>
      <c r="E553" s="19" t="s">
        <v>209</v>
      </c>
      <c r="F553" s="19" t="s">
        <v>305</v>
      </c>
      <c r="G553" s="19" t="s">
        <v>305</v>
      </c>
      <c r="H553" s="19"/>
      <c r="I553" s="19"/>
      <c r="J553" s="19" t="s">
        <v>19</v>
      </c>
      <c r="K553" s="19" t="s">
        <v>18</v>
      </c>
      <c r="L553" s="19" t="s">
        <v>19</v>
      </c>
      <c r="M553" s="19" t="s">
        <v>18</v>
      </c>
      <c r="N553" s="19" t="s">
        <v>19</v>
      </c>
      <c r="O553" s="19" t="s">
        <v>19</v>
      </c>
      <c r="P553" s="19">
        <v>101.37050000000001</v>
      </c>
      <c r="Q553" s="19">
        <v>3.3719169999999998</v>
      </c>
      <c r="R553" s="19"/>
      <c r="S553" s="19"/>
    </row>
    <row r="554" spans="1:19" hidden="1" x14ac:dyDescent="0.25">
      <c r="A554" s="28">
        <v>3313056</v>
      </c>
      <c r="B554" s="15" t="s">
        <v>316</v>
      </c>
      <c r="C554" s="19" t="s">
        <v>12</v>
      </c>
      <c r="D554" s="21" t="s">
        <v>13</v>
      </c>
      <c r="E554" s="19" t="s">
        <v>209</v>
      </c>
      <c r="F554" s="19" t="s">
        <v>305</v>
      </c>
      <c r="G554" s="19" t="s">
        <v>13</v>
      </c>
      <c r="H554" s="19" t="s">
        <v>317</v>
      </c>
      <c r="I554" s="19" t="s">
        <v>318</v>
      </c>
      <c r="J554" s="19" t="s">
        <v>19</v>
      </c>
      <c r="K554" s="19" t="s">
        <v>19</v>
      </c>
      <c r="L554" s="19" t="s">
        <v>18</v>
      </c>
      <c r="M554" s="19" t="s">
        <v>19</v>
      </c>
      <c r="N554" s="19" t="s">
        <v>19</v>
      </c>
      <c r="O554" s="19" t="s">
        <v>19</v>
      </c>
      <c r="P554" s="19">
        <v>101.369444</v>
      </c>
      <c r="Q554" s="19">
        <v>3.3083330000000002</v>
      </c>
      <c r="R554" s="19"/>
      <c r="S554" s="19" t="s">
        <v>20</v>
      </c>
    </row>
    <row r="555" spans="1:19" hidden="1" x14ac:dyDescent="0.25">
      <c r="A555" s="28">
        <v>3313060</v>
      </c>
      <c r="B555" s="15" t="s">
        <v>319</v>
      </c>
      <c r="C555" s="19" t="s">
        <v>12</v>
      </c>
      <c r="D555" s="21" t="s">
        <v>13</v>
      </c>
      <c r="E555" s="19" t="s">
        <v>209</v>
      </c>
      <c r="F555" s="19" t="s">
        <v>227</v>
      </c>
      <c r="G555" s="19" t="s">
        <v>13</v>
      </c>
      <c r="H555" s="19" t="s">
        <v>115</v>
      </c>
      <c r="I555" s="19"/>
      <c r="J555" s="19" t="s">
        <v>18</v>
      </c>
      <c r="K555" s="19" t="s">
        <v>18</v>
      </c>
      <c r="L555" s="19" t="s">
        <v>19</v>
      </c>
      <c r="M555" s="19" t="s">
        <v>19</v>
      </c>
      <c r="N555" s="19" t="s">
        <v>18</v>
      </c>
      <c r="O555" s="19" t="s">
        <v>19</v>
      </c>
      <c r="P555" s="19">
        <v>101.321</v>
      </c>
      <c r="Q555" s="19">
        <v>3.3087219999999999</v>
      </c>
      <c r="R555" s="19"/>
      <c r="S555" s="19" t="s">
        <v>20</v>
      </c>
    </row>
    <row r="556" spans="1:19" hidden="1" x14ac:dyDescent="0.25">
      <c r="A556" s="28">
        <v>3313070</v>
      </c>
      <c r="B556" s="15" t="s">
        <v>320</v>
      </c>
      <c r="C556" s="19" t="s">
        <v>12</v>
      </c>
      <c r="D556" s="21" t="s">
        <v>13</v>
      </c>
      <c r="E556" s="19" t="s">
        <v>209</v>
      </c>
      <c r="F556" s="19" t="s">
        <v>305</v>
      </c>
      <c r="G556" s="19" t="s">
        <v>305</v>
      </c>
      <c r="H556" s="19"/>
      <c r="I556" s="19"/>
      <c r="J556" s="19" t="s">
        <v>19</v>
      </c>
      <c r="K556" s="19" t="s">
        <v>18</v>
      </c>
      <c r="L556" s="19" t="s">
        <v>19</v>
      </c>
      <c r="M556" s="19" t="s">
        <v>18</v>
      </c>
      <c r="N556" s="19" t="s">
        <v>19</v>
      </c>
      <c r="O556" s="19" t="s">
        <v>19</v>
      </c>
      <c r="P556" s="19">
        <v>101.386444</v>
      </c>
      <c r="Q556" s="19">
        <v>3.3067220000000002</v>
      </c>
      <c r="R556" s="19"/>
      <c r="S556" s="19"/>
    </row>
    <row r="557" spans="1:19" hidden="1" x14ac:dyDescent="0.25">
      <c r="A557" s="28">
        <v>3314001</v>
      </c>
      <c r="B557" s="15" t="s">
        <v>321</v>
      </c>
      <c r="C557" s="19" t="s">
        <v>12</v>
      </c>
      <c r="D557" s="21" t="s">
        <v>13</v>
      </c>
      <c r="E557" s="19" t="s">
        <v>209</v>
      </c>
      <c r="F557" s="19" t="s">
        <v>305</v>
      </c>
      <c r="G557" s="19" t="s">
        <v>13</v>
      </c>
      <c r="H557" s="19" t="s">
        <v>71</v>
      </c>
      <c r="I557" s="19"/>
      <c r="J557" s="19" t="s">
        <v>18</v>
      </c>
      <c r="K557" s="19" t="s">
        <v>18</v>
      </c>
      <c r="L557" s="19" t="s">
        <v>19</v>
      </c>
      <c r="M557" s="19" t="s">
        <v>19</v>
      </c>
      <c r="N557" s="19" t="s">
        <v>18</v>
      </c>
      <c r="O557" s="19" t="s">
        <v>19</v>
      </c>
      <c r="P557" s="19">
        <v>101.412194</v>
      </c>
      <c r="Q557" s="19">
        <v>3.3688889999999998</v>
      </c>
      <c r="R557" s="19"/>
      <c r="S557" s="19" t="s">
        <v>41</v>
      </c>
    </row>
    <row r="558" spans="1:19" hidden="1" x14ac:dyDescent="0.25">
      <c r="A558" s="28">
        <v>3314037</v>
      </c>
      <c r="B558" s="15" t="s">
        <v>322</v>
      </c>
      <c r="C558" s="19" t="s">
        <v>12</v>
      </c>
      <c r="D558" s="21" t="s">
        <v>13</v>
      </c>
      <c r="E558" s="19" t="s">
        <v>209</v>
      </c>
      <c r="F558" s="19" t="s">
        <v>305</v>
      </c>
      <c r="G558" s="19" t="s">
        <v>13</v>
      </c>
      <c r="H558" s="19" t="s">
        <v>154</v>
      </c>
      <c r="I558" s="19" t="s">
        <v>323</v>
      </c>
      <c r="J558" s="19" t="s">
        <v>19</v>
      </c>
      <c r="K558" s="19" t="s">
        <v>19</v>
      </c>
      <c r="L558" s="19" t="s">
        <v>18</v>
      </c>
      <c r="M558" s="19" t="s">
        <v>19</v>
      </c>
      <c r="N558" s="19" t="s">
        <v>19</v>
      </c>
      <c r="O558" s="19" t="s">
        <v>19</v>
      </c>
      <c r="P558" s="19">
        <v>101.425</v>
      </c>
      <c r="Q558" s="19">
        <v>3.3833329999999999</v>
      </c>
      <c r="R558" s="19"/>
      <c r="S558" s="19" t="s">
        <v>20</v>
      </c>
    </row>
    <row r="559" spans="1:19" hidden="1" x14ac:dyDescent="0.25">
      <c r="A559" s="28">
        <v>3314038</v>
      </c>
      <c r="B559" s="15" t="s">
        <v>324</v>
      </c>
      <c r="C559" s="19" t="s">
        <v>12</v>
      </c>
      <c r="D559" s="21" t="s">
        <v>13</v>
      </c>
      <c r="E559" s="19" t="s">
        <v>209</v>
      </c>
      <c r="F559" s="19" t="s">
        <v>305</v>
      </c>
      <c r="G559" s="19" t="s">
        <v>13</v>
      </c>
      <c r="H559" s="19" t="s">
        <v>325</v>
      </c>
      <c r="I559" s="19" t="s">
        <v>326</v>
      </c>
      <c r="J559" s="19" t="s">
        <v>19</v>
      </c>
      <c r="K559" s="19" t="s">
        <v>19</v>
      </c>
      <c r="L559" s="19" t="s">
        <v>18</v>
      </c>
      <c r="M559" s="19" t="s">
        <v>19</v>
      </c>
      <c r="N559" s="19" t="s">
        <v>19</v>
      </c>
      <c r="O559" s="19" t="s">
        <v>19</v>
      </c>
      <c r="P559" s="19">
        <v>101.415278</v>
      </c>
      <c r="Q559" s="19">
        <v>3.3986109999999998</v>
      </c>
      <c r="R559" s="19"/>
      <c r="S559" s="19" t="s">
        <v>20</v>
      </c>
    </row>
    <row r="560" spans="1:19" hidden="1" x14ac:dyDescent="0.25">
      <c r="A560" s="28">
        <v>3314039</v>
      </c>
      <c r="B560" s="15" t="s">
        <v>327</v>
      </c>
      <c r="C560" s="19" t="s">
        <v>12</v>
      </c>
      <c r="D560" s="21" t="s">
        <v>13</v>
      </c>
      <c r="E560" s="19" t="s">
        <v>259</v>
      </c>
      <c r="F560" s="19"/>
      <c r="G560" s="19" t="s">
        <v>13</v>
      </c>
      <c r="H560" s="19"/>
      <c r="I560" s="19"/>
      <c r="J560" s="19" t="s">
        <v>18</v>
      </c>
      <c r="K560" s="19" t="s">
        <v>18</v>
      </c>
      <c r="L560" s="19" t="s">
        <v>19</v>
      </c>
      <c r="M560" s="19" t="s">
        <v>19</v>
      </c>
      <c r="N560" s="19" t="s">
        <v>18</v>
      </c>
      <c r="O560" s="19" t="s">
        <v>19</v>
      </c>
      <c r="P560" s="19">
        <v>101.48138899999999</v>
      </c>
      <c r="Q560" s="19">
        <v>3.3075000000000001</v>
      </c>
      <c r="R560" s="19"/>
      <c r="S560" s="19"/>
    </row>
    <row r="561" spans="1:19" hidden="1" x14ac:dyDescent="0.25">
      <c r="A561" s="28">
        <v>3314040</v>
      </c>
      <c r="B561" s="15" t="s">
        <v>2648</v>
      </c>
      <c r="C561" s="19" t="s">
        <v>12</v>
      </c>
      <c r="D561" s="21" t="s">
        <v>13</v>
      </c>
      <c r="E561" s="19" t="s">
        <v>259</v>
      </c>
      <c r="F561" s="19"/>
      <c r="G561" s="19" t="s">
        <v>13</v>
      </c>
      <c r="H561" s="19"/>
      <c r="I561" s="19"/>
      <c r="J561" s="19" t="s">
        <v>18</v>
      </c>
      <c r="K561" s="19" t="s">
        <v>18</v>
      </c>
      <c r="L561" s="19" t="s">
        <v>19</v>
      </c>
      <c r="M561" s="19" t="s">
        <v>19</v>
      </c>
      <c r="N561" s="19" t="s">
        <v>18</v>
      </c>
      <c r="O561" s="19" t="s">
        <v>19</v>
      </c>
      <c r="P561" s="19">
        <v>101.482444</v>
      </c>
      <c r="Q561" s="19">
        <v>3.3668610000000001</v>
      </c>
      <c r="R561" s="19"/>
      <c r="S561" s="19"/>
    </row>
    <row r="562" spans="1:19" hidden="1" x14ac:dyDescent="0.25">
      <c r="A562" s="28">
        <v>3315024</v>
      </c>
      <c r="B562" s="15" t="s">
        <v>328</v>
      </c>
      <c r="C562" s="19" t="s">
        <v>12</v>
      </c>
      <c r="D562" s="21" t="s">
        <v>13</v>
      </c>
      <c r="E562" s="19" t="s">
        <v>275</v>
      </c>
      <c r="F562" s="19"/>
      <c r="G562" s="19" t="s">
        <v>13</v>
      </c>
      <c r="H562" s="19" t="s">
        <v>329</v>
      </c>
      <c r="I562" s="19" t="s">
        <v>23</v>
      </c>
      <c r="J562" s="19" t="s">
        <v>19</v>
      </c>
      <c r="K562" s="19" t="s">
        <v>19</v>
      </c>
      <c r="L562" s="19" t="s">
        <v>18</v>
      </c>
      <c r="M562" s="19" t="s">
        <v>19</v>
      </c>
      <c r="N562" s="19" t="s">
        <v>19</v>
      </c>
      <c r="O562" s="19" t="s">
        <v>19</v>
      </c>
      <c r="P562" s="19">
        <v>101.555556</v>
      </c>
      <c r="Q562" s="19">
        <v>3.4</v>
      </c>
      <c r="R562" s="19"/>
      <c r="S562" s="19" t="s">
        <v>20</v>
      </c>
    </row>
    <row r="563" spans="1:19" hidden="1" x14ac:dyDescent="0.25">
      <c r="A563" s="28">
        <v>3315032</v>
      </c>
      <c r="B563" s="15" t="s">
        <v>330</v>
      </c>
      <c r="C563" s="19" t="s">
        <v>12</v>
      </c>
      <c r="D563" s="21" t="s">
        <v>13</v>
      </c>
      <c r="E563" s="19" t="s">
        <v>275</v>
      </c>
      <c r="F563" s="19" t="s">
        <v>331</v>
      </c>
      <c r="G563" s="19" t="s">
        <v>13</v>
      </c>
      <c r="H563" s="19" t="s">
        <v>332</v>
      </c>
      <c r="I563" s="19" t="s">
        <v>333</v>
      </c>
      <c r="J563" s="19" t="s">
        <v>19</v>
      </c>
      <c r="K563" s="19" t="s">
        <v>19</v>
      </c>
      <c r="L563" s="19" t="s">
        <v>18</v>
      </c>
      <c r="M563" s="19" t="s">
        <v>19</v>
      </c>
      <c r="N563" s="19" t="s">
        <v>19</v>
      </c>
      <c r="O563" s="19" t="s">
        <v>19</v>
      </c>
      <c r="P563" s="19">
        <v>101.591667</v>
      </c>
      <c r="Q563" s="19">
        <v>3.3708330000000002</v>
      </c>
      <c r="R563" s="19"/>
      <c r="S563" s="19" t="s">
        <v>20</v>
      </c>
    </row>
    <row r="564" spans="1:19" hidden="1" x14ac:dyDescent="0.25">
      <c r="A564" s="28">
        <v>3315033</v>
      </c>
      <c r="B564" s="15" t="s">
        <v>334</v>
      </c>
      <c r="C564" s="19" t="s">
        <v>12</v>
      </c>
      <c r="D564" s="21" t="s">
        <v>13</v>
      </c>
      <c r="E564" s="19" t="s">
        <v>259</v>
      </c>
      <c r="F564" s="19"/>
      <c r="G564" s="19"/>
      <c r="H564" s="19" t="s">
        <v>1861</v>
      </c>
      <c r="I564" s="19" t="s">
        <v>1742</v>
      </c>
      <c r="J564" s="19" t="s">
        <v>19</v>
      </c>
      <c r="K564" s="19" t="s">
        <v>19</v>
      </c>
      <c r="L564" s="19" t="s">
        <v>18</v>
      </c>
      <c r="M564" s="19" t="s">
        <v>19</v>
      </c>
      <c r="N564" s="19" t="s">
        <v>19</v>
      </c>
      <c r="O564" s="19" t="s">
        <v>19</v>
      </c>
      <c r="P564" s="19">
        <v>101.579167</v>
      </c>
      <c r="Q564" s="19">
        <v>3.3250000000000002</v>
      </c>
      <c r="R564" s="19"/>
      <c r="S564" s="19"/>
    </row>
    <row r="565" spans="1:19" hidden="1" x14ac:dyDescent="0.25">
      <c r="A565" s="28">
        <v>3315034</v>
      </c>
      <c r="B565" s="15" t="s">
        <v>335</v>
      </c>
      <c r="C565" s="19" t="s">
        <v>12</v>
      </c>
      <c r="D565" s="21" t="s">
        <v>13</v>
      </c>
      <c r="E565" s="19" t="s">
        <v>275</v>
      </c>
      <c r="F565" s="19"/>
      <c r="G565" s="19" t="s">
        <v>13</v>
      </c>
      <c r="H565" s="19" t="s">
        <v>102</v>
      </c>
      <c r="I565" s="19" t="s">
        <v>336</v>
      </c>
      <c r="J565" s="19" t="s">
        <v>19</v>
      </c>
      <c r="K565" s="19" t="s">
        <v>19</v>
      </c>
      <c r="L565" s="19" t="s">
        <v>19</v>
      </c>
      <c r="M565" s="19" t="s">
        <v>19</v>
      </c>
      <c r="N565" s="19" t="s">
        <v>18</v>
      </c>
      <c r="O565" s="19" t="s">
        <v>19</v>
      </c>
      <c r="P565" s="19">
        <v>101.52500000000001</v>
      </c>
      <c r="Q565" s="19">
        <v>3.3527779999999998</v>
      </c>
      <c r="R565" s="19"/>
      <c r="S565" s="19" t="s">
        <v>20</v>
      </c>
    </row>
    <row r="566" spans="1:19" hidden="1" x14ac:dyDescent="0.25">
      <c r="A566" s="28">
        <v>3315036</v>
      </c>
      <c r="B566" s="15" t="s">
        <v>337</v>
      </c>
      <c r="C566" s="19" t="s">
        <v>12</v>
      </c>
      <c r="D566" s="21" t="s">
        <v>13</v>
      </c>
      <c r="E566" s="19" t="s">
        <v>275</v>
      </c>
      <c r="F566" s="19"/>
      <c r="G566" s="19" t="s">
        <v>13</v>
      </c>
      <c r="H566" s="19" t="s">
        <v>338</v>
      </c>
      <c r="I566" s="19" t="s">
        <v>336</v>
      </c>
      <c r="J566" s="19" t="s">
        <v>19</v>
      </c>
      <c r="K566" s="19" t="s">
        <v>19</v>
      </c>
      <c r="L566" s="19" t="s">
        <v>18</v>
      </c>
      <c r="M566" s="19" t="s">
        <v>19</v>
      </c>
      <c r="N566" s="19" t="s">
        <v>19</v>
      </c>
      <c r="O566" s="19" t="s">
        <v>19</v>
      </c>
      <c r="P566" s="19">
        <v>101.5125</v>
      </c>
      <c r="Q566" s="19">
        <v>3.3</v>
      </c>
      <c r="R566" s="19"/>
      <c r="S566" s="19" t="s">
        <v>20</v>
      </c>
    </row>
    <row r="567" spans="1:19" hidden="1" x14ac:dyDescent="0.25">
      <c r="A567" s="28">
        <v>3315037</v>
      </c>
      <c r="B567" s="15" t="s">
        <v>339</v>
      </c>
      <c r="C567" s="19" t="s">
        <v>12</v>
      </c>
      <c r="D567" s="21" t="s">
        <v>13</v>
      </c>
      <c r="E567" s="19" t="s">
        <v>259</v>
      </c>
      <c r="F567" s="19" t="s">
        <v>340</v>
      </c>
      <c r="G567" s="19" t="s">
        <v>13</v>
      </c>
      <c r="H567" s="19"/>
      <c r="I567" s="19"/>
      <c r="J567" s="19" t="s">
        <v>18</v>
      </c>
      <c r="K567" s="19" t="s">
        <v>18</v>
      </c>
      <c r="L567" s="19" t="s">
        <v>19</v>
      </c>
      <c r="M567" s="19" t="s">
        <v>19</v>
      </c>
      <c r="N567" s="19" t="s">
        <v>18</v>
      </c>
      <c r="O567" s="19" t="s">
        <v>19</v>
      </c>
      <c r="P567" s="19">
        <v>101.586944</v>
      </c>
      <c r="Q567" s="19">
        <v>3.331944</v>
      </c>
      <c r="R567" s="19"/>
      <c r="S567" s="19"/>
    </row>
    <row r="568" spans="1:19" hidden="1" x14ac:dyDescent="0.25">
      <c r="A568" s="28">
        <v>3315038</v>
      </c>
      <c r="B568" s="15" t="s">
        <v>341</v>
      </c>
      <c r="C568" s="19" t="s">
        <v>12</v>
      </c>
      <c r="D568" s="21" t="s">
        <v>13</v>
      </c>
      <c r="E568" s="19" t="s">
        <v>259</v>
      </c>
      <c r="F568" s="19" t="s">
        <v>342</v>
      </c>
      <c r="G568" s="19" t="s">
        <v>13</v>
      </c>
      <c r="H568" s="19"/>
      <c r="I568" s="19"/>
      <c r="J568" s="19" t="s">
        <v>18</v>
      </c>
      <c r="K568" s="19" t="s">
        <v>18</v>
      </c>
      <c r="L568" s="19" t="s">
        <v>19</v>
      </c>
      <c r="M568" s="19" t="s">
        <v>19</v>
      </c>
      <c r="N568" s="19" t="s">
        <v>18</v>
      </c>
      <c r="O568" s="19" t="s">
        <v>19</v>
      </c>
      <c r="P568" s="19">
        <v>101.531944</v>
      </c>
      <c r="Q568" s="19">
        <v>3.3272219999999999</v>
      </c>
      <c r="R568" s="19"/>
      <c r="S568" s="19"/>
    </row>
    <row r="569" spans="1:19" hidden="1" x14ac:dyDescent="0.25">
      <c r="A569" s="28">
        <v>3315039</v>
      </c>
      <c r="B569" s="15" t="s">
        <v>343</v>
      </c>
      <c r="C569" s="19" t="s">
        <v>12</v>
      </c>
      <c r="D569" s="21" t="s">
        <v>13</v>
      </c>
      <c r="E569" s="19" t="s">
        <v>259</v>
      </c>
      <c r="F569" s="19" t="s">
        <v>342</v>
      </c>
      <c r="G569" s="19" t="s">
        <v>305</v>
      </c>
      <c r="H569" s="19"/>
      <c r="I569" s="19"/>
      <c r="J569" s="19" t="s">
        <v>19</v>
      </c>
      <c r="K569" s="19" t="s">
        <v>18</v>
      </c>
      <c r="L569" s="19" t="s">
        <v>19</v>
      </c>
      <c r="M569" s="19" t="s">
        <v>18</v>
      </c>
      <c r="N569" s="19" t="s">
        <v>19</v>
      </c>
      <c r="O569" s="19" t="s">
        <v>19</v>
      </c>
      <c r="P569" s="19">
        <v>101.591944</v>
      </c>
      <c r="Q569" s="19">
        <v>3.304694</v>
      </c>
      <c r="R569" s="19"/>
      <c r="S569" s="19"/>
    </row>
    <row r="570" spans="1:19" hidden="1" x14ac:dyDescent="0.25">
      <c r="A570" s="28">
        <v>3315039</v>
      </c>
      <c r="B570" s="15" t="s">
        <v>344</v>
      </c>
      <c r="C570" s="19" t="s">
        <v>12</v>
      </c>
      <c r="D570" s="21" t="s">
        <v>13</v>
      </c>
      <c r="E570" s="19" t="s">
        <v>259</v>
      </c>
      <c r="F570" s="19" t="s">
        <v>342</v>
      </c>
      <c r="G570" s="19" t="s">
        <v>13</v>
      </c>
      <c r="H570" s="19" t="s">
        <v>1862</v>
      </c>
      <c r="I570" s="19"/>
      <c r="J570" s="19" t="s">
        <v>18</v>
      </c>
      <c r="K570" s="19" t="s">
        <v>18</v>
      </c>
      <c r="L570" s="19" t="s">
        <v>19</v>
      </c>
      <c r="M570" s="19" t="s">
        <v>19</v>
      </c>
      <c r="N570" s="19" t="s">
        <v>18</v>
      </c>
      <c r="O570" s="19" t="s">
        <v>19</v>
      </c>
      <c r="P570" s="19">
        <v>101.56611100000001</v>
      </c>
      <c r="Q570" s="19">
        <v>3.3424999999999998</v>
      </c>
      <c r="R570" s="19"/>
      <c r="S570" s="19"/>
    </row>
    <row r="571" spans="1:19" hidden="1" x14ac:dyDescent="0.25">
      <c r="A571" s="28">
        <v>3315040</v>
      </c>
      <c r="B571" s="15" t="s">
        <v>345</v>
      </c>
      <c r="C571" s="19" t="s">
        <v>12</v>
      </c>
      <c r="D571" s="21" t="s">
        <v>13</v>
      </c>
      <c r="E571" s="19" t="s">
        <v>275</v>
      </c>
      <c r="F571" s="19" t="s">
        <v>346</v>
      </c>
      <c r="G571" s="19" t="s">
        <v>13</v>
      </c>
      <c r="H571" s="19"/>
      <c r="I571" s="19"/>
      <c r="J571" s="19" t="s">
        <v>18</v>
      </c>
      <c r="K571" s="19" t="s">
        <v>18</v>
      </c>
      <c r="L571" s="19" t="s">
        <v>19</v>
      </c>
      <c r="M571" s="19" t="s">
        <v>19</v>
      </c>
      <c r="N571" s="19" t="s">
        <v>18</v>
      </c>
      <c r="O571" s="19" t="s">
        <v>19</v>
      </c>
      <c r="P571" s="19">
        <v>101.533889</v>
      </c>
      <c r="Q571" s="19">
        <v>3.398889</v>
      </c>
      <c r="R571" s="19"/>
      <c r="S571" s="19"/>
    </row>
    <row r="572" spans="1:19" hidden="1" x14ac:dyDescent="0.25">
      <c r="A572" s="28">
        <v>3315041</v>
      </c>
      <c r="B572" s="15" t="s">
        <v>347</v>
      </c>
      <c r="C572" s="19" t="s">
        <v>12</v>
      </c>
      <c r="D572" s="21" t="s">
        <v>13</v>
      </c>
      <c r="E572" s="19" t="s">
        <v>259</v>
      </c>
      <c r="F572" s="19" t="s">
        <v>348</v>
      </c>
      <c r="G572" s="19" t="s">
        <v>13</v>
      </c>
      <c r="H572" s="19"/>
      <c r="I572" s="19"/>
      <c r="J572" s="19" t="s">
        <v>18</v>
      </c>
      <c r="K572" s="19" t="s">
        <v>18</v>
      </c>
      <c r="L572" s="19" t="s">
        <v>19</v>
      </c>
      <c r="M572" s="19" t="s">
        <v>19</v>
      </c>
      <c r="N572" s="19" t="s">
        <v>18</v>
      </c>
      <c r="O572" s="19" t="s">
        <v>19</v>
      </c>
      <c r="P572" s="19">
        <v>101.523611</v>
      </c>
      <c r="Q572" s="19">
        <v>3.3083330000000002</v>
      </c>
      <c r="R572" s="19"/>
      <c r="S572" s="19"/>
    </row>
    <row r="573" spans="1:19" hidden="1" x14ac:dyDescent="0.25">
      <c r="A573" s="28">
        <v>3316028</v>
      </c>
      <c r="B573" s="15" t="s">
        <v>349</v>
      </c>
      <c r="C573" s="19" t="s">
        <v>12</v>
      </c>
      <c r="D573" s="21" t="s">
        <v>13</v>
      </c>
      <c r="E573" s="19" t="s">
        <v>275</v>
      </c>
      <c r="F573" s="19" t="s">
        <v>350</v>
      </c>
      <c r="G573" s="19" t="s">
        <v>13</v>
      </c>
      <c r="H573" s="19" t="s">
        <v>246</v>
      </c>
      <c r="I573" s="19"/>
      <c r="J573" s="19" t="s">
        <v>18</v>
      </c>
      <c r="K573" s="19" t="s">
        <v>18</v>
      </c>
      <c r="L573" s="19" t="s">
        <v>19</v>
      </c>
      <c r="M573" s="19" t="s">
        <v>19</v>
      </c>
      <c r="N573" s="19" t="s">
        <v>18</v>
      </c>
      <c r="O573" s="19" t="s">
        <v>19</v>
      </c>
      <c r="P573" s="19">
        <v>101.6225</v>
      </c>
      <c r="Q573" s="19">
        <v>3.4002780000000001</v>
      </c>
      <c r="R573" s="19"/>
      <c r="S573" s="19" t="s">
        <v>20</v>
      </c>
    </row>
    <row r="574" spans="1:19" hidden="1" x14ac:dyDescent="0.25">
      <c r="A574" s="28">
        <v>3316029</v>
      </c>
      <c r="B574" s="15" t="s">
        <v>351</v>
      </c>
      <c r="C574" s="19" t="s">
        <v>12</v>
      </c>
      <c r="D574" s="21" t="s">
        <v>13</v>
      </c>
      <c r="E574" s="19" t="s">
        <v>275</v>
      </c>
      <c r="F574" s="19" t="s">
        <v>350</v>
      </c>
      <c r="G574" s="19" t="s">
        <v>305</v>
      </c>
      <c r="H574" s="19"/>
      <c r="I574" s="19"/>
      <c r="J574" s="19" t="s">
        <v>19</v>
      </c>
      <c r="K574" s="19" t="s">
        <v>18</v>
      </c>
      <c r="L574" s="19" t="s">
        <v>19</v>
      </c>
      <c r="M574" s="19" t="s">
        <v>18</v>
      </c>
      <c r="N574" s="19" t="s">
        <v>19</v>
      </c>
      <c r="O574" s="19" t="s">
        <v>19</v>
      </c>
      <c r="P574" s="19">
        <v>101.60680600000001</v>
      </c>
      <c r="Q574" s="19">
        <v>3.3683890000000001</v>
      </c>
      <c r="R574" s="19"/>
      <c r="S574" s="19"/>
    </row>
    <row r="575" spans="1:19" hidden="1" x14ac:dyDescent="0.25">
      <c r="A575" s="29">
        <v>3317001</v>
      </c>
      <c r="B575" s="25" t="s">
        <v>1238</v>
      </c>
      <c r="C575" s="26" t="s">
        <v>12</v>
      </c>
      <c r="D575" s="24" t="s">
        <v>157</v>
      </c>
      <c r="E575" s="26" t="s">
        <v>157</v>
      </c>
      <c r="F575" s="26" t="s">
        <v>1195</v>
      </c>
      <c r="G575" s="26" t="s">
        <v>1195</v>
      </c>
      <c r="H575" s="26" t="s">
        <v>1239</v>
      </c>
      <c r="I575" s="26"/>
      <c r="J575" s="26" t="s">
        <v>18</v>
      </c>
      <c r="K575" s="26" t="s">
        <v>18</v>
      </c>
      <c r="L575" s="26" t="s">
        <v>19</v>
      </c>
      <c r="M575" s="26" t="s">
        <v>18</v>
      </c>
      <c r="N575" s="26" t="s">
        <v>18</v>
      </c>
      <c r="O575" s="26" t="s">
        <v>19</v>
      </c>
      <c r="P575" s="26">
        <v>101.704167</v>
      </c>
      <c r="Q575" s="26">
        <v>3.3347220000000002</v>
      </c>
      <c r="R575" s="26"/>
      <c r="S575" s="26" t="s">
        <v>41</v>
      </c>
    </row>
    <row r="576" spans="1:19" hidden="1" x14ac:dyDescent="0.25">
      <c r="A576" s="28">
        <v>3317002</v>
      </c>
      <c r="B576" s="15" t="s">
        <v>352</v>
      </c>
      <c r="C576" s="19" t="s">
        <v>12</v>
      </c>
      <c r="D576" s="21" t="s">
        <v>13</v>
      </c>
      <c r="E576" s="19" t="s">
        <v>157</v>
      </c>
      <c r="F576" s="19"/>
      <c r="G576" s="19" t="s">
        <v>13</v>
      </c>
      <c r="H576" s="19" t="s">
        <v>125</v>
      </c>
      <c r="I576" s="19" t="s">
        <v>152</v>
      </c>
      <c r="J576" s="19" t="s">
        <v>19</v>
      </c>
      <c r="K576" s="19" t="s">
        <v>19</v>
      </c>
      <c r="L576" s="19" t="s">
        <v>19</v>
      </c>
      <c r="M576" s="19" t="s">
        <v>19</v>
      </c>
      <c r="N576" s="19" t="s">
        <v>19</v>
      </c>
      <c r="O576" s="19" t="s">
        <v>19</v>
      </c>
      <c r="P576" s="19">
        <v>101.73611099999999</v>
      </c>
      <c r="Q576" s="19">
        <v>3.3083330000000002</v>
      </c>
      <c r="R576" s="19"/>
      <c r="S576" s="19" t="s">
        <v>41</v>
      </c>
    </row>
    <row r="577" spans="1:19" hidden="1" x14ac:dyDescent="0.25">
      <c r="A577" s="29">
        <v>3317004</v>
      </c>
      <c r="B577" s="25" t="s">
        <v>1240</v>
      </c>
      <c r="C577" s="26" t="s">
        <v>12</v>
      </c>
      <c r="D577" s="24" t="s">
        <v>157</v>
      </c>
      <c r="E577" s="26" t="s">
        <v>1241</v>
      </c>
      <c r="F577" s="26" t="s">
        <v>295</v>
      </c>
      <c r="G577" s="26" t="s">
        <v>295</v>
      </c>
      <c r="H577" s="26" t="s">
        <v>1242</v>
      </c>
      <c r="I577" s="26"/>
      <c r="J577" s="26" t="s">
        <v>18</v>
      </c>
      <c r="K577" s="26" t="s">
        <v>18</v>
      </c>
      <c r="L577" s="26" t="s">
        <v>19</v>
      </c>
      <c r="M577" s="26" t="s">
        <v>18</v>
      </c>
      <c r="N577" s="26" t="s">
        <v>18</v>
      </c>
      <c r="O577" s="26" t="s">
        <v>19</v>
      </c>
      <c r="P577" s="26">
        <v>101.770833</v>
      </c>
      <c r="Q577" s="26">
        <v>3.3680560000000002</v>
      </c>
      <c r="R577" s="26"/>
      <c r="S577" s="26" t="s">
        <v>41</v>
      </c>
    </row>
    <row r="578" spans="1:19" hidden="1" x14ac:dyDescent="0.25">
      <c r="A578" s="28">
        <v>3317063</v>
      </c>
      <c r="B578" s="15" t="s">
        <v>353</v>
      </c>
      <c r="C578" s="19" t="s">
        <v>12</v>
      </c>
      <c r="D578" s="21" t="s">
        <v>13</v>
      </c>
      <c r="E578" s="19" t="s">
        <v>157</v>
      </c>
      <c r="F578" s="19"/>
      <c r="G578" s="19" t="s">
        <v>13</v>
      </c>
      <c r="H578" s="19" t="s">
        <v>354</v>
      </c>
      <c r="I578" s="19" t="s">
        <v>355</v>
      </c>
      <c r="J578" s="19" t="s">
        <v>19</v>
      </c>
      <c r="K578" s="19" t="s">
        <v>19</v>
      </c>
      <c r="L578" s="19" t="s">
        <v>18</v>
      </c>
      <c r="M578" s="19" t="s">
        <v>19</v>
      </c>
      <c r="N578" s="19" t="s">
        <v>19</v>
      </c>
      <c r="O578" s="19" t="s">
        <v>19</v>
      </c>
      <c r="P578" s="19">
        <v>101.754167</v>
      </c>
      <c r="Q578" s="19">
        <v>3.3263889999999998</v>
      </c>
      <c r="R578" s="19"/>
      <c r="S578" s="19" t="s">
        <v>41</v>
      </c>
    </row>
    <row r="579" spans="1:19" hidden="1" x14ac:dyDescent="0.25">
      <c r="A579" s="28">
        <v>3318126</v>
      </c>
      <c r="B579" s="15" t="s">
        <v>1515</v>
      </c>
      <c r="C579" s="19" t="s">
        <v>12</v>
      </c>
      <c r="D579" s="21" t="s">
        <v>1363</v>
      </c>
      <c r="E579" s="19" t="s">
        <v>1481</v>
      </c>
      <c r="F579" s="19" t="s">
        <v>1516</v>
      </c>
      <c r="G579" s="19" t="s">
        <v>1481</v>
      </c>
      <c r="H579" s="19" t="s">
        <v>1517</v>
      </c>
      <c r="I579" s="19" t="s">
        <v>530</v>
      </c>
      <c r="J579" s="19" t="s">
        <v>19</v>
      </c>
      <c r="K579" s="19" t="s">
        <v>19</v>
      </c>
      <c r="L579" s="19" t="s">
        <v>19</v>
      </c>
      <c r="M579" s="19" t="s">
        <v>19</v>
      </c>
      <c r="N579" s="19" t="s">
        <v>18</v>
      </c>
      <c r="O579" s="19" t="s">
        <v>19</v>
      </c>
      <c r="P579" s="19">
        <v>101.825</v>
      </c>
      <c r="Q579" s="19">
        <v>3.3527779999999998</v>
      </c>
      <c r="R579" s="19"/>
      <c r="S579" s="19" t="s">
        <v>41</v>
      </c>
    </row>
    <row r="580" spans="1:19" hidden="1" x14ac:dyDescent="0.25">
      <c r="A580" s="28">
        <v>3318127</v>
      </c>
      <c r="B580" s="15" t="s">
        <v>1518</v>
      </c>
      <c r="C580" s="19" t="s">
        <v>12</v>
      </c>
      <c r="D580" s="21" t="s">
        <v>1363</v>
      </c>
      <c r="E580" s="19" t="s">
        <v>1481</v>
      </c>
      <c r="F580" s="19" t="s">
        <v>1516</v>
      </c>
      <c r="G580" s="19" t="s">
        <v>1481</v>
      </c>
      <c r="H580" s="19" t="s">
        <v>1083</v>
      </c>
      <c r="I580" s="19"/>
      <c r="J580" s="19" t="s">
        <v>18</v>
      </c>
      <c r="K580" s="19" t="s">
        <v>18</v>
      </c>
      <c r="L580" s="19" t="s">
        <v>18</v>
      </c>
      <c r="M580" s="19" t="s">
        <v>19</v>
      </c>
      <c r="N580" s="19" t="s">
        <v>19</v>
      </c>
      <c r="O580" s="19" t="s">
        <v>19</v>
      </c>
      <c r="P580" s="19">
        <v>101.8625</v>
      </c>
      <c r="Q580" s="19">
        <v>3.3263889999999998</v>
      </c>
      <c r="R580" s="19"/>
      <c r="S580" s="19" t="s">
        <v>41</v>
      </c>
    </row>
    <row r="581" spans="1:19" hidden="1" x14ac:dyDescent="0.25">
      <c r="A581" s="28">
        <v>3320130</v>
      </c>
      <c r="B581" s="15" t="s">
        <v>1519</v>
      </c>
      <c r="C581" s="19" t="s">
        <v>12</v>
      </c>
      <c r="D581" s="21" t="s">
        <v>1363</v>
      </c>
      <c r="E581" s="19" t="s">
        <v>1481</v>
      </c>
      <c r="F581" s="19" t="s">
        <v>1498</v>
      </c>
      <c r="G581" s="19" t="s">
        <v>1481</v>
      </c>
      <c r="H581" s="19" t="s">
        <v>578</v>
      </c>
      <c r="I581" s="19" t="s">
        <v>1077</v>
      </c>
      <c r="J581" s="19" t="s">
        <v>19</v>
      </c>
      <c r="K581" s="19" t="s">
        <v>19</v>
      </c>
      <c r="L581" s="19" t="s">
        <v>18</v>
      </c>
      <c r="M581" s="19" t="s">
        <v>19</v>
      </c>
      <c r="N581" s="19" t="s">
        <v>19</v>
      </c>
      <c r="O581" s="19" t="s">
        <v>19</v>
      </c>
      <c r="P581" s="19">
        <v>102.077778</v>
      </c>
      <c r="Q581" s="19">
        <v>3.3444440000000002</v>
      </c>
      <c r="R581" s="19"/>
      <c r="S581" s="19" t="s">
        <v>20</v>
      </c>
    </row>
    <row r="582" spans="1:19" hidden="1" x14ac:dyDescent="0.25">
      <c r="A582" s="28">
        <v>3324082</v>
      </c>
      <c r="B582" s="15" t="s">
        <v>1520</v>
      </c>
      <c r="C582" s="19" t="s">
        <v>12</v>
      </c>
      <c r="D582" s="21" t="s">
        <v>1363</v>
      </c>
      <c r="E582" s="19" t="s">
        <v>1486</v>
      </c>
      <c r="F582" s="19" t="s">
        <v>1521</v>
      </c>
      <c r="G582" s="19" t="s">
        <v>1363</v>
      </c>
      <c r="H582" s="19" t="s">
        <v>742</v>
      </c>
      <c r="I582" s="19"/>
      <c r="J582" s="19" t="s">
        <v>18</v>
      </c>
      <c r="K582" s="19" t="s">
        <v>18</v>
      </c>
      <c r="L582" s="19" t="s">
        <v>18</v>
      </c>
      <c r="M582" s="19" t="s">
        <v>19</v>
      </c>
      <c r="N582" s="19" t="s">
        <v>19</v>
      </c>
      <c r="O582" s="19" t="s">
        <v>19</v>
      </c>
      <c r="P582" s="19">
        <v>102.430556</v>
      </c>
      <c r="Q582" s="19">
        <v>3.391667</v>
      </c>
      <c r="R582" s="19"/>
      <c r="S582" s="19" t="s">
        <v>41</v>
      </c>
    </row>
    <row r="583" spans="1:19" hidden="1" x14ac:dyDescent="0.25">
      <c r="A583" s="28">
        <v>3324083</v>
      </c>
      <c r="B583" s="15" t="s">
        <v>1522</v>
      </c>
      <c r="C583" s="19" t="s">
        <v>12</v>
      </c>
      <c r="D583" s="21" t="s">
        <v>1363</v>
      </c>
      <c r="E583" s="19" t="s">
        <v>1468</v>
      </c>
      <c r="F583" s="19" t="s">
        <v>1523</v>
      </c>
      <c r="G583" s="19" t="s">
        <v>1363</v>
      </c>
      <c r="H583" s="19" t="s">
        <v>1494</v>
      </c>
      <c r="I583" s="19"/>
      <c r="J583" s="19" t="s">
        <v>18</v>
      </c>
      <c r="K583" s="19" t="s">
        <v>18</v>
      </c>
      <c r="L583" s="19" t="s">
        <v>18</v>
      </c>
      <c r="M583" s="19" t="s">
        <v>19</v>
      </c>
      <c r="N583" s="19" t="s">
        <v>19</v>
      </c>
      <c r="O583" s="19" t="s">
        <v>19</v>
      </c>
      <c r="P583" s="19">
        <v>102.413889</v>
      </c>
      <c r="Q583" s="19">
        <v>3.338889</v>
      </c>
      <c r="R583" s="19"/>
      <c r="S583" s="19" t="s">
        <v>20</v>
      </c>
    </row>
    <row r="584" spans="1:19" hidden="1" x14ac:dyDescent="0.25">
      <c r="A584" s="28">
        <v>3325085</v>
      </c>
      <c r="B584" s="15" t="s">
        <v>1524</v>
      </c>
      <c r="C584" s="19" t="s">
        <v>12</v>
      </c>
      <c r="D584" s="21" t="s">
        <v>1363</v>
      </c>
      <c r="E584" s="19" t="s">
        <v>1486</v>
      </c>
      <c r="F584" s="19" t="s">
        <v>1523</v>
      </c>
      <c r="G584" s="19" t="s">
        <v>1363</v>
      </c>
      <c r="H584" s="19" t="s">
        <v>1525</v>
      </c>
      <c r="I584" s="19"/>
      <c r="J584" s="19" t="s">
        <v>18</v>
      </c>
      <c r="K584" s="19" t="s">
        <v>18</v>
      </c>
      <c r="L584" s="19" t="s">
        <v>18</v>
      </c>
      <c r="M584" s="19" t="s">
        <v>19</v>
      </c>
      <c r="N584" s="19" t="s">
        <v>19</v>
      </c>
      <c r="O584" s="19" t="s">
        <v>19</v>
      </c>
      <c r="P584" s="19">
        <v>102.506944</v>
      </c>
      <c r="Q584" s="19">
        <v>3.3277779999999999</v>
      </c>
      <c r="R584" s="19"/>
      <c r="S584" s="19" t="s">
        <v>41</v>
      </c>
    </row>
    <row r="585" spans="1:19" hidden="1" x14ac:dyDescent="0.25">
      <c r="A585" s="28">
        <v>3325086</v>
      </c>
      <c r="B585" s="15" t="s">
        <v>1526</v>
      </c>
      <c r="C585" s="19" t="s">
        <v>12</v>
      </c>
      <c r="D585" s="21" t="s">
        <v>1363</v>
      </c>
      <c r="E585" s="19" t="s">
        <v>1468</v>
      </c>
      <c r="F585" s="19" t="s">
        <v>1523</v>
      </c>
      <c r="G585" s="19" t="s">
        <v>1363</v>
      </c>
      <c r="H585" s="19" t="s">
        <v>1461</v>
      </c>
      <c r="I585" s="19"/>
      <c r="J585" s="19" t="s">
        <v>18</v>
      </c>
      <c r="K585" s="19" t="s">
        <v>18</v>
      </c>
      <c r="L585" s="19" t="s">
        <v>18</v>
      </c>
      <c r="M585" s="19" t="s">
        <v>19</v>
      </c>
      <c r="N585" s="19" t="s">
        <v>19</v>
      </c>
      <c r="O585" s="19" t="s">
        <v>19</v>
      </c>
      <c r="P585" s="19">
        <v>102.533333</v>
      </c>
      <c r="Q585" s="19">
        <v>3.3902779999999999</v>
      </c>
      <c r="R585" s="19"/>
      <c r="S585" s="19" t="s">
        <v>41</v>
      </c>
    </row>
    <row r="586" spans="1:19" hidden="1" x14ac:dyDescent="0.25">
      <c r="A586" s="28">
        <v>3330109</v>
      </c>
      <c r="B586" s="15" t="s">
        <v>1527</v>
      </c>
      <c r="C586" s="19" t="s">
        <v>12</v>
      </c>
      <c r="D586" s="21" t="s">
        <v>1363</v>
      </c>
      <c r="E586" s="19" t="s">
        <v>1442</v>
      </c>
      <c r="F586" s="19" t="s">
        <v>1528</v>
      </c>
      <c r="G586" s="19" t="s">
        <v>1363</v>
      </c>
      <c r="H586" s="19" t="s">
        <v>1529</v>
      </c>
      <c r="I586" s="19"/>
      <c r="J586" s="19" t="s">
        <v>18</v>
      </c>
      <c r="K586" s="19" t="s">
        <v>18</v>
      </c>
      <c r="L586" s="19" t="s">
        <v>19</v>
      </c>
      <c r="M586" s="19" t="s">
        <v>19</v>
      </c>
      <c r="N586" s="19" t="s">
        <v>18</v>
      </c>
      <c r="O586" s="19" t="s">
        <v>19</v>
      </c>
      <c r="P586" s="19">
        <v>103.02638899999999</v>
      </c>
      <c r="Q586" s="19">
        <v>3.3902779999999999</v>
      </c>
      <c r="R586" s="19"/>
      <c r="S586" s="19" t="s">
        <v>41</v>
      </c>
    </row>
    <row r="587" spans="1:19" hidden="1" x14ac:dyDescent="0.25">
      <c r="A587" s="28">
        <v>3334161</v>
      </c>
      <c r="B587" s="15" t="s">
        <v>1530</v>
      </c>
      <c r="C587" s="19" t="s">
        <v>12</v>
      </c>
      <c r="D587" s="21" t="s">
        <v>1363</v>
      </c>
      <c r="E587" s="19" t="s">
        <v>1442</v>
      </c>
      <c r="F587" s="19" t="s">
        <v>1523</v>
      </c>
      <c r="G587" s="19" t="s">
        <v>1363</v>
      </c>
      <c r="H587" s="19" t="s">
        <v>1525</v>
      </c>
      <c r="I587" s="19"/>
      <c r="J587" s="19" t="s">
        <v>18</v>
      </c>
      <c r="K587" s="19" t="s">
        <v>18</v>
      </c>
      <c r="L587" s="19" t="s">
        <v>18</v>
      </c>
      <c r="M587" s="19" t="s">
        <v>19</v>
      </c>
      <c r="N587" s="19" t="s">
        <v>19</v>
      </c>
      <c r="O587" s="19" t="s">
        <v>19</v>
      </c>
      <c r="P587" s="19">
        <v>103.42361099999999</v>
      </c>
      <c r="Q587" s="19">
        <v>3.3875000000000002</v>
      </c>
      <c r="R587" s="19"/>
      <c r="S587" s="19" t="s">
        <v>41</v>
      </c>
    </row>
    <row r="588" spans="1:19" hidden="1" x14ac:dyDescent="0.25">
      <c r="A588" s="28">
        <v>3411001</v>
      </c>
      <c r="B588" s="15" t="s">
        <v>2649</v>
      </c>
      <c r="C588" s="19" t="s">
        <v>12</v>
      </c>
      <c r="D588" s="21" t="s">
        <v>13</v>
      </c>
      <c r="E588" s="19" t="s">
        <v>209</v>
      </c>
      <c r="F588" s="19" t="s">
        <v>356</v>
      </c>
      <c r="G588" s="19" t="s">
        <v>357</v>
      </c>
      <c r="H588" s="19" t="s">
        <v>358</v>
      </c>
      <c r="I588" s="19"/>
      <c r="J588" s="19" t="s">
        <v>18</v>
      </c>
      <c r="K588" s="19" t="s">
        <v>18</v>
      </c>
      <c r="L588" s="19" t="s">
        <v>19</v>
      </c>
      <c r="M588" s="19" t="s">
        <v>19</v>
      </c>
      <c r="N588" s="19" t="s">
        <v>18</v>
      </c>
      <c r="O588" s="19" t="s">
        <v>19</v>
      </c>
      <c r="P588" s="19">
        <v>101.19111100000001</v>
      </c>
      <c r="Q588" s="19">
        <v>3.5053610000000002</v>
      </c>
      <c r="R588" s="19"/>
      <c r="S588" s="19" t="s">
        <v>41</v>
      </c>
    </row>
    <row r="589" spans="1:19" hidden="1" x14ac:dyDescent="0.25">
      <c r="A589" s="28">
        <v>3411016</v>
      </c>
      <c r="B589" s="15" t="s">
        <v>359</v>
      </c>
      <c r="C589" s="19" t="s">
        <v>12</v>
      </c>
      <c r="D589" s="21" t="s">
        <v>13</v>
      </c>
      <c r="E589" s="19" t="s">
        <v>209</v>
      </c>
      <c r="F589" s="19" t="s">
        <v>356</v>
      </c>
      <c r="G589" s="19" t="s">
        <v>357</v>
      </c>
      <c r="H589" s="19" t="s">
        <v>329</v>
      </c>
      <c r="I589" s="19"/>
      <c r="J589" s="19" t="s">
        <v>18</v>
      </c>
      <c r="K589" s="19" t="s">
        <v>18</v>
      </c>
      <c r="L589" s="19" t="s">
        <v>19</v>
      </c>
      <c r="M589" s="19" t="s">
        <v>19</v>
      </c>
      <c r="N589" s="19" t="s">
        <v>18</v>
      </c>
      <c r="O589" s="19" t="s">
        <v>19</v>
      </c>
      <c r="P589" s="19">
        <v>101.147361</v>
      </c>
      <c r="Q589" s="19">
        <v>3.455972</v>
      </c>
      <c r="R589" s="19"/>
      <c r="S589" s="19" t="s">
        <v>41</v>
      </c>
    </row>
    <row r="590" spans="1:19" hidden="1" x14ac:dyDescent="0.25">
      <c r="A590" s="28">
        <v>3411017</v>
      </c>
      <c r="B590" s="15" t="s">
        <v>360</v>
      </c>
      <c r="C590" s="19" t="s">
        <v>12</v>
      </c>
      <c r="D590" s="21" t="s">
        <v>13</v>
      </c>
      <c r="E590" s="19" t="s">
        <v>209</v>
      </c>
      <c r="F590" s="19" t="s">
        <v>224</v>
      </c>
      <c r="G590" s="19" t="s">
        <v>361</v>
      </c>
      <c r="H590" s="19" t="s">
        <v>362</v>
      </c>
      <c r="I590" s="19"/>
      <c r="J590" s="19" t="s">
        <v>18</v>
      </c>
      <c r="K590" s="19" t="s">
        <v>18</v>
      </c>
      <c r="L590" s="19" t="s">
        <v>19</v>
      </c>
      <c r="M590" s="19" t="s">
        <v>19</v>
      </c>
      <c r="N590" s="19" t="s">
        <v>18</v>
      </c>
      <c r="O590" s="19" t="s">
        <v>19</v>
      </c>
      <c r="P590" s="19">
        <v>101.173306</v>
      </c>
      <c r="Q590" s="19">
        <v>3.4236110000000002</v>
      </c>
      <c r="R590" s="19"/>
      <c r="S590" s="19" t="s">
        <v>41</v>
      </c>
    </row>
    <row r="591" spans="1:19" hidden="1" x14ac:dyDescent="0.25">
      <c r="A591" s="28">
        <v>3412001</v>
      </c>
      <c r="B591" s="15" t="s">
        <v>363</v>
      </c>
      <c r="C591" s="19" t="s">
        <v>12</v>
      </c>
      <c r="D591" s="21" t="s">
        <v>13</v>
      </c>
      <c r="E591" s="19" t="s">
        <v>209</v>
      </c>
      <c r="F591" s="19" t="s">
        <v>356</v>
      </c>
      <c r="G591" s="19" t="s">
        <v>364</v>
      </c>
      <c r="H591" s="19" t="s">
        <v>365</v>
      </c>
      <c r="I591" s="19"/>
      <c r="J591" s="19" t="s">
        <v>18</v>
      </c>
      <c r="K591" s="19" t="s">
        <v>18</v>
      </c>
      <c r="L591" s="19" t="s">
        <v>19</v>
      </c>
      <c r="M591" s="19" t="s">
        <v>19</v>
      </c>
      <c r="N591" s="19" t="s">
        <v>18</v>
      </c>
      <c r="O591" s="19" t="s">
        <v>19</v>
      </c>
      <c r="P591" s="19">
        <v>101.22030599999999</v>
      </c>
      <c r="Q591" s="19">
        <v>3.4830559999999999</v>
      </c>
      <c r="R591" s="19"/>
      <c r="S591" s="19" t="s">
        <v>41</v>
      </c>
    </row>
    <row r="592" spans="1:19" hidden="1" x14ac:dyDescent="0.25">
      <c r="A592" s="28">
        <v>3412041</v>
      </c>
      <c r="B592" s="15" t="s">
        <v>366</v>
      </c>
      <c r="C592" s="19" t="s">
        <v>12</v>
      </c>
      <c r="D592" s="21" t="s">
        <v>13</v>
      </c>
      <c r="E592" s="19" t="s">
        <v>209</v>
      </c>
      <c r="F592" s="19" t="s">
        <v>224</v>
      </c>
      <c r="G592" s="19" t="s">
        <v>13</v>
      </c>
      <c r="H592" s="19" t="s">
        <v>145</v>
      </c>
      <c r="I592" s="19"/>
      <c r="J592" s="19" t="s">
        <v>18</v>
      </c>
      <c r="K592" s="19" t="s">
        <v>18</v>
      </c>
      <c r="L592" s="19" t="s">
        <v>19</v>
      </c>
      <c r="M592" s="19" t="s">
        <v>19</v>
      </c>
      <c r="N592" s="19" t="s">
        <v>18</v>
      </c>
      <c r="O592" s="19" t="s">
        <v>19</v>
      </c>
      <c r="P592" s="19">
        <v>101.283889</v>
      </c>
      <c r="Q592" s="19">
        <v>3.4102779999999999</v>
      </c>
      <c r="R592" s="19"/>
      <c r="S592" s="19" t="s">
        <v>20</v>
      </c>
    </row>
    <row r="593" spans="1:19" hidden="1" x14ac:dyDescent="0.25">
      <c r="A593" s="28">
        <v>3414029</v>
      </c>
      <c r="B593" s="15" t="s">
        <v>367</v>
      </c>
      <c r="C593" s="19" t="s">
        <v>12</v>
      </c>
      <c r="D593" s="21" t="s">
        <v>13</v>
      </c>
      <c r="E593" s="19" t="s">
        <v>275</v>
      </c>
      <c r="F593" s="19" t="s">
        <v>368</v>
      </c>
      <c r="G593" s="19" t="s">
        <v>13</v>
      </c>
      <c r="H593" s="19" t="s">
        <v>124</v>
      </c>
      <c r="I593" s="19"/>
      <c r="J593" s="19" t="s">
        <v>18</v>
      </c>
      <c r="K593" s="19" t="s">
        <v>18</v>
      </c>
      <c r="L593" s="19" t="s">
        <v>19</v>
      </c>
      <c r="M593" s="19" t="s">
        <v>19</v>
      </c>
      <c r="N593" s="19" t="s">
        <v>18</v>
      </c>
      <c r="O593" s="19" t="s">
        <v>19</v>
      </c>
      <c r="P593" s="19">
        <v>101.488694</v>
      </c>
      <c r="Q593" s="19">
        <v>3.4744440000000001</v>
      </c>
      <c r="R593" s="19"/>
      <c r="S593" s="19" t="s">
        <v>20</v>
      </c>
    </row>
    <row r="594" spans="1:19" hidden="1" x14ac:dyDescent="0.25">
      <c r="A594" s="28">
        <v>3414030</v>
      </c>
      <c r="B594" s="15" t="s">
        <v>369</v>
      </c>
      <c r="C594" s="19" t="s">
        <v>12</v>
      </c>
      <c r="D594" s="21" t="s">
        <v>13</v>
      </c>
      <c r="E594" s="19" t="s">
        <v>209</v>
      </c>
      <c r="F594" s="19" t="s">
        <v>305</v>
      </c>
      <c r="G594" s="19" t="s">
        <v>13</v>
      </c>
      <c r="H594" s="19" t="s">
        <v>102</v>
      </c>
      <c r="I594" s="19"/>
      <c r="J594" s="19" t="s">
        <v>18</v>
      </c>
      <c r="K594" s="19" t="s">
        <v>18</v>
      </c>
      <c r="L594" s="19" t="s">
        <v>19</v>
      </c>
      <c r="M594" s="19" t="s">
        <v>19</v>
      </c>
      <c r="N594" s="19" t="s">
        <v>18</v>
      </c>
      <c r="O594" s="19" t="s">
        <v>19</v>
      </c>
      <c r="P594" s="19">
        <v>101.460083</v>
      </c>
      <c r="Q594" s="19">
        <v>3.449722</v>
      </c>
      <c r="R594" s="19"/>
      <c r="S594" s="19" t="s">
        <v>20</v>
      </c>
    </row>
    <row r="595" spans="1:19" hidden="1" x14ac:dyDescent="0.25">
      <c r="A595" s="28">
        <v>3414031</v>
      </c>
      <c r="B595" s="15" t="s">
        <v>370</v>
      </c>
      <c r="C595" s="19" t="s">
        <v>12</v>
      </c>
      <c r="D595" s="21" t="s">
        <v>13</v>
      </c>
      <c r="E595" s="19" t="s">
        <v>275</v>
      </c>
      <c r="F595" s="19"/>
      <c r="G595" s="19" t="s">
        <v>13</v>
      </c>
      <c r="H595" s="19" t="s">
        <v>142</v>
      </c>
      <c r="I595" s="19" t="s">
        <v>371</v>
      </c>
      <c r="J595" s="19" t="s">
        <v>19</v>
      </c>
      <c r="K595" s="19" t="s">
        <v>19</v>
      </c>
      <c r="L595" s="19" t="s">
        <v>19</v>
      </c>
      <c r="M595" s="19" t="s">
        <v>19</v>
      </c>
      <c r="N595" s="19" t="s">
        <v>19</v>
      </c>
      <c r="O595" s="19" t="s">
        <v>19</v>
      </c>
      <c r="P595" s="19">
        <v>101.45694399999999</v>
      </c>
      <c r="Q595" s="19">
        <v>3.4222220000000001</v>
      </c>
      <c r="R595" s="19"/>
      <c r="S595" s="19" t="s">
        <v>41</v>
      </c>
    </row>
    <row r="596" spans="1:19" hidden="1" x14ac:dyDescent="0.25">
      <c r="A596" s="28">
        <v>3414032</v>
      </c>
      <c r="B596" s="15" t="s">
        <v>372</v>
      </c>
      <c r="C596" s="19" t="s">
        <v>12</v>
      </c>
      <c r="D596" s="21" t="s">
        <v>13</v>
      </c>
      <c r="E596" s="19" t="s">
        <v>209</v>
      </c>
      <c r="F596" s="19" t="s">
        <v>305</v>
      </c>
      <c r="G596" s="19" t="s">
        <v>305</v>
      </c>
      <c r="H596" s="19"/>
      <c r="I596" s="19"/>
      <c r="J596" s="19" t="s">
        <v>19</v>
      </c>
      <c r="K596" s="19" t="s">
        <v>18</v>
      </c>
      <c r="L596" s="19" t="s">
        <v>19</v>
      </c>
      <c r="M596" s="19" t="s">
        <v>18</v>
      </c>
      <c r="N596" s="19" t="s">
        <v>19</v>
      </c>
      <c r="O596" s="19" t="s">
        <v>19</v>
      </c>
      <c r="P596" s="19">
        <v>101.441667</v>
      </c>
      <c r="Q596" s="19">
        <v>3.4020000000000001</v>
      </c>
      <c r="R596" s="19"/>
      <c r="S596" s="19"/>
    </row>
    <row r="597" spans="1:19" hidden="1" x14ac:dyDescent="0.25">
      <c r="A597" s="28">
        <v>3415001</v>
      </c>
      <c r="B597" s="15" t="s">
        <v>373</v>
      </c>
      <c r="C597" s="19" t="s">
        <v>12</v>
      </c>
      <c r="D597" s="21" t="s">
        <v>13</v>
      </c>
      <c r="E597" s="19" t="s">
        <v>275</v>
      </c>
      <c r="F597" s="19" t="s">
        <v>305</v>
      </c>
      <c r="G597" s="19" t="s">
        <v>13</v>
      </c>
      <c r="H597" s="19"/>
      <c r="I597" s="19"/>
      <c r="J597" s="19" t="s">
        <v>18</v>
      </c>
      <c r="K597" s="19" t="s">
        <v>18</v>
      </c>
      <c r="L597" s="19" t="s">
        <v>19</v>
      </c>
      <c r="M597" s="19" t="s">
        <v>19</v>
      </c>
      <c r="N597" s="19" t="s">
        <v>18</v>
      </c>
      <c r="O597" s="19" t="s">
        <v>19</v>
      </c>
      <c r="P597" s="19">
        <v>101.53916700000001</v>
      </c>
      <c r="Q597" s="19">
        <v>3.4855559999999999</v>
      </c>
      <c r="R597" s="19"/>
      <c r="S597" s="19"/>
    </row>
    <row r="598" spans="1:19" hidden="1" x14ac:dyDescent="0.25">
      <c r="A598" s="28">
        <v>3416001</v>
      </c>
      <c r="B598" s="15" t="s">
        <v>374</v>
      </c>
      <c r="C598" s="19" t="s">
        <v>12</v>
      </c>
      <c r="D598" s="21" t="s">
        <v>13</v>
      </c>
      <c r="E598" s="19" t="s">
        <v>275</v>
      </c>
      <c r="F598" s="19" t="s">
        <v>375</v>
      </c>
      <c r="G598" s="19" t="s">
        <v>305</v>
      </c>
      <c r="H598" s="19"/>
      <c r="I598" s="19"/>
      <c r="J598" s="19" t="s">
        <v>19</v>
      </c>
      <c r="K598" s="19" t="s">
        <v>18</v>
      </c>
      <c r="L598" s="19" t="s">
        <v>19</v>
      </c>
      <c r="M598" s="19" t="s">
        <v>18</v>
      </c>
      <c r="N598" s="19" t="s">
        <v>19</v>
      </c>
      <c r="O598" s="19" t="s">
        <v>19</v>
      </c>
      <c r="P598" s="19">
        <v>101.637333</v>
      </c>
      <c r="Q598" s="19">
        <v>3.4606669999999999</v>
      </c>
      <c r="R598" s="19"/>
      <c r="S598" s="19"/>
    </row>
    <row r="599" spans="1:19" hidden="1" x14ac:dyDescent="0.25">
      <c r="A599" s="28">
        <v>3416002</v>
      </c>
      <c r="B599" s="15" t="s">
        <v>376</v>
      </c>
      <c r="C599" s="19" t="s">
        <v>12</v>
      </c>
      <c r="D599" s="21" t="s">
        <v>13</v>
      </c>
      <c r="E599" s="19" t="s">
        <v>275</v>
      </c>
      <c r="F599" s="19" t="s">
        <v>375</v>
      </c>
      <c r="G599" s="19" t="s">
        <v>305</v>
      </c>
      <c r="H599" s="19" t="s">
        <v>377</v>
      </c>
      <c r="I599" s="19"/>
      <c r="J599" s="19" t="s">
        <v>18</v>
      </c>
      <c r="K599" s="19" t="s">
        <v>18</v>
      </c>
      <c r="L599" s="19" t="s">
        <v>19</v>
      </c>
      <c r="M599" s="19" t="s">
        <v>18</v>
      </c>
      <c r="N599" s="19" t="s">
        <v>18</v>
      </c>
      <c r="O599" s="19" t="s">
        <v>19</v>
      </c>
      <c r="P599" s="19">
        <v>101.661389</v>
      </c>
      <c r="Q599" s="19">
        <v>3.4383330000000001</v>
      </c>
      <c r="R599" s="19"/>
      <c r="S599" s="19" t="s">
        <v>41</v>
      </c>
    </row>
    <row r="600" spans="1:19" hidden="1" x14ac:dyDescent="0.25">
      <c r="A600" s="28">
        <v>3416025</v>
      </c>
      <c r="B600" s="15" t="s">
        <v>378</v>
      </c>
      <c r="C600" s="19" t="s">
        <v>12</v>
      </c>
      <c r="D600" s="21" t="s">
        <v>13</v>
      </c>
      <c r="E600" s="19" t="s">
        <v>275</v>
      </c>
      <c r="F600" s="19"/>
      <c r="G600" s="19" t="s">
        <v>13</v>
      </c>
      <c r="H600" s="19" t="s">
        <v>46</v>
      </c>
      <c r="I600" s="19" t="s">
        <v>379</v>
      </c>
      <c r="J600" s="19" t="s">
        <v>19</v>
      </c>
      <c r="K600" s="19" t="s">
        <v>19</v>
      </c>
      <c r="L600" s="19" t="s">
        <v>19</v>
      </c>
      <c r="M600" s="19" t="s">
        <v>19</v>
      </c>
      <c r="N600" s="19" t="s">
        <v>18</v>
      </c>
      <c r="O600" s="19" t="s">
        <v>19</v>
      </c>
      <c r="P600" s="19">
        <v>101.654167</v>
      </c>
      <c r="Q600" s="19">
        <v>3.4666670000000002</v>
      </c>
      <c r="R600" s="19"/>
      <c r="S600" s="19" t="s">
        <v>20</v>
      </c>
    </row>
    <row r="601" spans="1:19" hidden="1" x14ac:dyDescent="0.25">
      <c r="A601" s="28">
        <v>3416026</v>
      </c>
      <c r="B601" s="15" t="s">
        <v>380</v>
      </c>
      <c r="C601" s="19" t="s">
        <v>12</v>
      </c>
      <c r="D601" s="21" t="s">
        <v>13</v>
      </c>
      <c r="E601" s="19" t="s">
        <v>275</v>
      </c>
      <c r="F601" s="19"/>
      <c r="G601" s="19" t="s">
        <v>13</v>
      </c>
      <c r="H601" s="19" t="s">
        <v>102</v>
      </c>
      <c r="I601" s="19"/>
      <c r="J601" s="19" t="s">
        <v>19</v>
      </c>
      <c r="K601" s="19" t="s">
        <v>19</v>
      </c>
      <c r="L601" s="19" t="s">
        <v>19</v>
      </c>
      <c r="M601" s="19" t="s">
        <v>19</v>
      </c>
      <c r="N601" s="19" t="s">
        <v>18</v>
      </c>
      <c r="O601" s="19" t="s">
        <v>19</v>
      </c>
      <c r="P601" s="19">
        <v>101.602778</v>
      </c>
      <c r="Q601" s="19">
        <v>3.4944440000000001</v>
      </c>
      <c r="R601" s="19"/>
      <c r="S601" s="19" t="s">
        <v>20</v>
      </c>
    </row>
    <row r="602" spans="1:19" hidden="1" x14ac:dyDescent="0.25">
      <c r="A602" s="28">
        <v>3416027</v>
      </c>
      <c r="B602" s="15" t="s">
        <v>381</v>
      </c>
      <c r="C602" s="19" t="s">
        <v>12</v>
      </c>
      <c r="D602" s="21" t="s">
        <v>13</v>
      </c>
      <c r="E602" s="19" t="s">
        <v>275</v>
      </c>
      <c r="F602" s="19" t="s">
        <v>382</v>
      </c>
      <c r="G602" s="19" t="s">
        <v>305</v>
      </c>
      <c r="H602" s="19"/>
      <c r="I602" s="19"/>
      <c r="J602" s="19" t="s">
        <v>19</v>
      </c>
      <c r="K602" s="19" t="s">
        <v>18</v>
      </c>
      <c r="L602" s="19" t="s">
        <v>19</v>
      </c>
      <c r="M602" s="19" t="s">
        <v>18</v>
      </c>
      <c r="N602" s="19" t="s">
        <v>19</v>
      </c>
      <c r="O602" s="19" t="s">
        <v>19</v>
      </c>
      <c r="P602" s="19">
        <v>101.63980599999999</v>
      </c>
      <c r="Q602" s="19">
        <v>3.4699170000000001</v>
      </c>
      <c r="R602" s="19"/>
      <c r="S602" s="19"/>
    </row>
    <row r="603" spans="1:19" hidden="1" x14ac:dyDescent="0.25">
      <c r="A603" s="28">
        <v>3416029</v>
      </c>
      <c r="B603" s="15" t="s">
        <v>383</v>
      </c>
      <c r="C603" s="19" t="s">
        <v>12</v>
      </c>
      <c r="D603" s="21" t="s">
        <v>13</v>
      </c>
      <c r="E603" s="19" t="s">
        <v>275</v>
      </c>
      <c r="F603" s="19" t="s">
        <v>375</v>
      </c>
      <c r="G603" s="19" t="s">
        <v>13</v>
      </c>
      <c r="H603" s="19"/>
      <c r="I603" s="19"/>
      <c r="J603" s="19" t="s">
        <v>18</v>
      </c>
      <c r="K603" s="19" t="s">
        <v>18</v>
      </c>
      <c r="L603" s="19" t="s">
        <v>19</v>
      </c>
      <c r="M603" s="19" t="s">
        <v>19</v>
      </c>
      <c r="N603" s="19" t="s">
        <v>18</v>
      </c>
      <c r="O603" s="19" t="s">
        <v>19</v>
      </c>
      <c r="P603" s="19">
        <v>101.666389</v>
      </c>
      <c r="Q603" s="19">
        <v>3.4222220000000001</v>
      </c>
      <c r="R603" s="19"/>
      <c r="S603" s="19"/>
    </row>
    <row r="604" spans="1:19" hidden="1" x14ac:dyDescent="0.25">
      <c r="A604" s="28">
        <v>3420131</v>
      </c>
      <c r="B604" s="15" t="s">
        <v>1531</v>
      </c>
      <c r="C604" s="19" t="s">
        <v>12</v>
      </c>
      <c r="D604" s="21" t="s">
        <v>1363</v>
      </c>
      <c r="E604" s="19" t="s">
        <v>1481</v>
      </c>
      <c r="F604" s="19" t="s">
        <v>1498</v>
      </c>
      <c r="G604" s="19" t="s">
        <v>1363</v>
      </c>
      <c r="H604" s="19" t="s">
        <v>1423</v>
      </c>
      <c r="I604" s="19"/>
      <c r="J604" s="19" t="s">
        <v>18</v>
      </c>
      <c r="K604" s="19" t="s">
        <v>18</v>
      </c>
      <c r="L604" s="19" t="s">
        <v>18</v>
      </c>
      <c r="M604" s="19" t="s">
        <v>19</v>
      </c>
      <c r="N604" s="19" t="s">
        <v>19</v>
      </c>
      <c r="O604" s="19" t="s">
        <v>19</v>
      </c>
      <c r="P604" s="19">
        <v>102.058333</v>
      </c>
      <c r="Q604" s="19">
        <v>3.4166669999999999</v>
      </c>
      <c r="R604" s="19"/>
      <c r="S604" s="19" t="s">
        <v>20</v>
      </c>
    </row>
    <row r="605" spans="1:19" hidden="1" x14ac:dyDescent="0.25">
      <c r="A605" s="28">
        <v>3420132</v>
      </c>
      <c r="B605" s="15" t="s">
        <v>1532</v>
      </c>
      <c r="C605" s="19" t="s">
        <v>12</v>
      </c>
      <c r="D605" s="21" t="s">
        <v>1363</v>
      </c>
      <c r="E605" s="19" t="s">
        <v>1533</v>
      </c>
      <c r="F605" s="19" t="s">
        <v>1534</v>
      </c>
      <c r="G605" s="19" t="s">
        <v>1463</v>
      </c>
      <c r="H605" s="19"/>
      <c r="I605" s="19"/>
      <c r="J605" s="19" t="s">
        <v>19</v>
      </c>
      <c r="K605" s="19" t="s">
        <v>18</v>
      </c>
      <c r="L605" s="19" t="s">
        <v>19</v>
      </c>
      <c r="M605" s="19" t="s">
        <v>18</v>
      </c>
      <c r="N605" s="19" t="s">
        <v>19</v>
      </c>
      <c r="O605" s="19" t="s">
        <v>19</v>
      </c>
      <c r="P605" s="19">
        <v>102.08</v>
      </c>
      <c r="Q605" s="19">
        <v>3.47</v>
      </c>
      <c r="R605" s="19"/>
      <c r="S605" s="19"/>
    </row>
    <row r="606" spans="1:19" hidden="1" x14ac:dyDescent="0.25">
      <c r="A606" s="28">
        <v>3421134</v>
      </c>
      <c r="B606" s="15" t="s">
        <v>1535</v>
      </c>
      <c r="C606" s="19" t="s">
        <v>12</v>
      </c>
      <c r="D606" s="21" t="s">
        <v>1363</v>
      </c>
      <c r="E606" s="19" t="s">
        <v>1486</v>
      </c>
      <c r="F606" s="19" t="s">
        <v>1521</v>
      </c>
      <c r="G606" s="19" t="s">
        <v>1521</v>
      </c>
      <c r="H606" s="19" t="s">
        <v>139</v>
      </c>
      <c r="I606" s="19"/>
      <c r="J606" s="19" t="s">
        <v>18</v>
      </c>
      <c r="K606" s="19" t="s">
        <v>18</v>
      </c>
      <c r="L606" s="19" t="s">
        <v>18</v>
      </c>
      <c r="M606" s="19" t="s">
        <v>19</v>
      </c>
      <c r="N606" s="19" t="s">
        <v>19</v>
      </c>
      <c r="O606" s="19" t="s">
        <v>19</v>
      </c>
      <c r="P606" s="19">
        <v>102.143056</v>
      </c>
      <c r="Q606" s="19">
        <v>3.4666670000000002</v>
      </c>
      <c r="R606" s="19"/>
      <c r="S606" s="19" t="s">
        <v>20</v>
      </c>
    </row>
    <row r="607" spans="1:19" hidden="1" x14ac:dyDescent="0.25">
      <c r="A607" s="28">
        <v>3421135</v>
      </c>
      <c r="B607" s="15" t="s">
        <v>1536</v>
      </c>
      <c r="C607" s="19" t="s">
        <v>12</v>
      </c>
      <c r="D607" s="21" t="s">
        <v>1363</v>
      </c>
      <c r="E607" s="19" t="s">
        <v>1533</v>
      </c>
      <c r="F607" s="19" t="s">
        <v>1521</v>
      </c>
      <c r="G607" s="19" t="s">
        <v>1363</v>
      </c>
      <c r="H607" s="19" t="s">
        <v>1537</v>
      </c>
      <c r="I607" s="19"/>
      <c r="J607" s="19" t="s">
        <v>19</v>
      </c>
      <c r="K607" s="19" t="s">
        <v>19</v>
      </c>
      <c r="L607" s="19" t="s">
        <v>18</v>
      </c>
      <c r="M607" s="19" t="s">
        <v>19</v>
      </c>
      <c r="N607" s="19" t="s">
        <v>19</v>
      </c>
      <c r="O607" s="19" t="s">
        <v>19</v>
      </c>
      <c r="P607" s="19">
        <v>102.191667</v>
      </c>
      <c r="Q607" s="19">
        <v>3.4972219999999998</v>
      </c>
      <c r="R607" s="19"/>
      <c r="S607" s="19" t="s">
        <v>164</v>
      </c>
    </row>
    <row r="608" spans="1:19" hidden="1" x14ac:dyDescent="0.25">
      <c r="A608" s="28">
        <v>3423138</v>
      </c>
      <c r="B608" s="15" t="s">
        <v>1538</v>
      </c>
      <c r="C608" s="19" t="s">
        <v>12</v>
      </c>
      <c r="D608" s="21" t="s">
        <v>1363</v>
      </c>
      <c r="E608" s="19" t="s">
        <v>1486</v>
      </c>
      <c r="F608" s="19" t="s">
        <v>1521</v>
      </c>
      <c r="G608" s="19" t="s">
        <v>1523</v>
      </c>
      <c r="H608" s="19" t="s">
        <v>494</v>
      </c>
      <c r="I608" s="19"/>
      <c r="J608" s="19" t="s">
        <v>18</v>
      </c>
      <c r="K608" s="19" t="s">
        <v>18</v>
      </c>
      <c r="L608" s="19" t="s">
        <v>18</v>
      </c>
      <c r="M608" s="19" t="s">
        <v>19</v>
      </c>
      <c r="N608" s="19" t="s">
        <v>19</v>
      </c>
      <c r="O608" s="19" t="s">
        <v>19</v>
      </c>
      <c r="P608" s="19">
        <v>102.351389</v>
      </c>
      <c r="Q608" s="19">
        <v>3.483333</v>
      </c>
      <c r="R608" s="19"/>
      <c r="S608" s="19" t="s">
        <v>1539</v>
      </c>
    </row>
    <row r="609" spans="1:19" hidden="1" x14ac:dyDescent="0.25">
      <c r="A609" s="28">
        <v>3424081</v>
      </c>
      <c r="B609" s="15" t="s">
        <v>1540</v>
      </c>
      <c r="C609" s="19" t="s">
        <v>12</v>
      </c>
      <c r="D609" s="21" t="s">
        <v>1363</v>
      </c>
      <c r="E609" s="19" t="s">
        <v>1486</v>
      </c>
      <c r="F609" s="19" t="s">
        <v>1521</v>
      </c>
      <c r="G609" s="19" t="s">
        <v>1363</v>
      </c>
      <c r="H609" s="19" t="s">
        <v>99</v>
      </c>
      <c r="I609" s="19"/>
      <c r="J609" s="19" t="s">
        <v>18</v>
      </c>
      <c r="K609" s="19" t="s">
        <v>18</v>
      </c>
      <c r="L609" s="19" t="s">
        <v>19</v>
      </c>
      <c r="M609" s="19" t="s">
        <v>19</v>
      </c>
      <c r="N609" s="19" t="s">
        <v>18</v>
      </c>
      <c r="O609" s="19" t="s">
        <v>19</v>
      </c>
      <c r="P609" s="19">
        <v>102.426389</v>
      </c>
      <c r="Q609" s="19">
        <v>3.4388890000000001</v>
      </c>
      <c r="R609" s="19"/>
      <c r="S609" s="19" t="s">
        <v>41</v>
      </c>
    </row>
    <row r="610" spans="1:19" hidden="1" x14ac:dyDescent="0.25">
      <c r="A610" s="28">
        <v>3424081</v>
      </c>
      <c r="B610" s="15" t="s">
        <v>1541</v>
      </c>
      <c r="C610" s="19" t="s">
        <v>12</v>
      </c>
      <c r="D610" s="21" t="s">
        <v>1363</v>
      </c>
      <c r="E610" s="19" t="s">
        <v>1486</v>
      </c>
      <c r="F610" s="19" t="s">
        <v>1463</v>
      </c>
      <c r="G610" s="19" t="s">
        <v>1463</v>
      </c>
      <c r="H610" s="19"/>
      <c r="I610" s="19"/>
      <c r="J610" s="19" t="s">
        <v>19</v>
      </c>
      <c r="K610" s="19" t="s">
        <v>18</v>
      </c>
      <c r="L610" s="19" t="s">
        <v>19</v>
      </c>
      <c r="M610" s="19" t="s">
        <v>18</v>
      </c>
      <c r="N610" s="19" t="s">
        <v>19</v>
      </c>
      <c r="O610" s="19" t="s">
        <v>19</v>
      </c>
      <c r="P610" s="19">
        <v>102.42</v>
      </c>
      <c r="Q610" s="19">
        <v>3.43</v>
      </c>
      <c r="R610" s="19"/>
      <c r="S610" s="19"/>
    </row>
    <row r="611" spans="1:19" hidden="1" x14ac:dyDescent="0.25">
      <c r="A611" s="28">
        <v>3425087</v>
      </c>
      <c r="B611" s="15" t="s">
        <v>1542</v>
      </c>
      <c r="C611" s="19" t="s">
        <v>12</v>
      </c>
      <c r="D611" s="21" t="s">
        <v>1363</v>
      </c>
      <c r="E611" s="19" t="s">
        <v>1486</v>
      </c>
      <c r="F611" s="19" t="s">
        <v>1523</v>
      </c>
      <c r="G611" s="19" t="s">
        <v>1363</v>
      </c>
      <c r="H611" s="19" t="s">
        <v>1543</v>
      </c>
      <c r="I611" s="19"/>
      <c r="J611" s="19" t="s">
        <v>18</v>
      </c>
      <c r="K611" s="19" t="s">
        <v>18</v>
      </c>
      <c r="L611" s="19" t="s">
        <v>18</v>
      </c>
      <c r="M611" s="19" t="s">
        <v>19</v>
      </c>
      <c r="N611" s="19" t="s">
        <v>19</v>
      </c>
      <c r="O611" s="19" t="s">
        <v>19</v>
      </c>
      <c r="P611" s="19">
        <v>102.540278</v>
      </c>
      <c r="Q611" s="19">
        <v>3.5</v>
      </c>
      <c r="R611" s="19"/>
      <c r="S611" s="19" t="s">
        <v>164</v>
      </c>
    </row>
    <row r="612" spans="1:19" hidden="1" x14ac:dyDescent="0.25">
      <c r="A612" s="28">
        <v>3425088</v>
      </c>
      <c r="B612" s="15" t="s">
        <v>1544</v>
      </c>
      <c r="C612" s="19" t="s">
        <v>12</v>
      </c>
      <c r="D612" s="21" t="s">
        <v>1363</v>
      </c>
      <c r="E612" s="19" t="s">
        <v>1486</v>
      </c>
      <c r="F612" s="19" t="s">
        <v>1523</v>
      </c>
      <c r="G612" s="19" t="s">
        <v>1363</v>
      </c>
      <c r="H612" s="19" t="s">
        <v>1525</v>
      </c>
      <c r="I612" s="19"/>
      <c r="J612" s="19" t="s">
        <v>18</v>
      </c>
      <c r="K612" s="19" t="s">
        <v>18</v>
      </c>
      <c r="L612" s="19" t="s">
        <v>18</v>
      </c>
      <c r="M612" s="19" t="s">
        <v>19</v>
      </c>
      <c r="N612" s="19" t="s">
        <v>19</v>
      </c>
      <c r="O612" s="19" t="s">
        <v>19</v>
      </c>
      <c r="P612" s="19">
        <v>102.586111</v>
      </c>
      <c r="Q612" s="19">
        <v>3.483333</v>
      </c>
      <c r="R612" s="19"/>
      <c r="S612" s="19" t="s">
        <v>41</v>
      </c>
    </row>
    <row r="613" spans="1:19" hidden="1" x14ac:dyDescent="0.25">
      <c r="A613" s="28">
        <v>3429096</v>
      </c>
      <c r="B613" s="15" t="s">
        <v>1545</v>
      </c>
      <c r="C613" s="19" t="s">
        <v>12</v>
      </c>
      <c r="D613" s="21" t="s">
        <v>1363</v>
      </c>
      <c r="E613" s="19" t="s">
        <v>1442</v>
      </c>
      <c r="F613" s="19" t="s">
        <v>1523</v>
      </c>
      <c r="G613" s="19" t="s">
        <v>1363</v>
      </c>
      <c r="H613" s="19" t="s">
        <v>40</v>
      </c>
      <c r="I613" s="19"/>
      <c r="J613" s="19" t="s">
        <v>18</v>
      </c>
      <c r="K613" s="19" t="s">
        <v>18</v>
      </c>
      <c r="L613" s="19" t="s">
        <v>18</v>
      </c>
      <c r="M613" s="19" t="s">
        <v>19</v>
      </c>
      <c r="N613" s="19" t="s">
        <v>19</v>
      </c>
      <c r="O613" s="19" t="s">
        <v>19</v>
      </c>
      <c r="P613" s="19">
        <v>102.933333</v>
      </c>
      <c r="Q613" s="19">
        <v>3.4861110000000002</v>
      </c>
      <c r="R613" s="19"/>
      <c r="S613" s="19" t="s">
        <v>41</v>
      </c>
    </row>
    <row r="614" spans="1:19" hidden="1" x14ac:dyDescent="0.25">
      <c r="A614" s="28">
        <v>3430097</v>
      </c>
      <c r="B614" s="15" t="s">
        <v>1546</v>
      </c>
      <c r="C614" s="19" t="s">
        <v>12</v>
      </c>
      <c r="D614" s="21" t="s">
        <v>1363</v>
      </c>
      <c r="E614" s="19" t="s">
        <v>1442</v>
      </c>
      <c r="F614" s="19" t="s">
        <v>1523</v>
      </c>
      <c r="G614" s="19" t="s">
        <v>1363</v>
      </c>
      <c r="H614" s="19" t="s">
        <v>40</v>
      </c>
      <c r="I614" s="19"/>
      <c r="J614" s="19" t="s">
        <v>18</v>
      </c>
      <c r="K614" s="19" t="s">
        <v>18</v>
      </c>
      <c r="L614" s="19" t="s">
        <v>18</v>
      </c>
      <c r="M614" s="19" t="s">
        <v>19</v>
      </c>
      <c r="N614" s="19" t="s">
        <v>19</v>
      </c>
      <c r="O614" s="19" t="s">
        <v>19</v>
      </c>
      <c r="P614" s="19">
        <v>103.040278</v>
      </c>
      <c r="Q614" s="19">
        <v>3.454167</v>
      </c>
      <c r="R614" s="19"/>
      <c r="S614" s="19" t="s">
        <v>41</v>
      </c>
    </row>
    <row r="615" spans="1:19" hidden="1" x14ac:dyDescent="0.25">
      <c r="A615" s="28">
        <v>3431099</v>
      </c>
      <c r="B615" s="15" t="s">
        <v>1547</v>
      </c>
      <c r="C615" s="19" t="s">
        <v>12</v>
      </c>
      <c r="D615" s="21" t="s">
        <v>1363</v>
      </c>
      <c r="E615" s="19" t="s">
        <v>1442</v>
      </c>
      <c r="F615" s="19" t="s">
        <v>1523</v>
      </c>
      <c r="G615" s="19" t="s">
        <v>1363</v>
      </c>
      <c r="H615" s="19" t="s">
        <v>1514</v>
      </c>
      <c r="I615" s="19"/>
      <c r="J615" s="19" t="s">
        <v>18</v>
      </c>
      <c r="K615" s="19" t="s">
        <v>18</v>
      </c>
      <c r="L615" s="19" t="s">
        <v>18</v>
      </c>
      <c r="M615" s="19" t="s">
        <v>19</v>
      </c>
      <c r="N615" s="19" t="s">
        <v>19</v>
      </c>
      <c r="O615" s="19" t="s">
        <v>19</v>
      </c>
      <c r="P615" s="19">
        <v>103.13888900000001</v>
      </c>
      <c r="Q615" s="19">
        <v>3.4972219999999998</v>
      </c>
      <c r="R615" s="19"/>
      <c r="S615" s="19" t="s">
        <v>41</v>
      </c>
    </row>
    <row r="616" spans="1:19" hidden="1" x14ac:dyDescent="0.25">
      <c r="A616" s="28">
        <v>3431099</v>
      </c>
      <c r="B616" s="15" t="s">
        <v>1548</v>
      </c>
      <c r="C616" s="19" t="s">
        <v>12</v>
      </c>
      <c r="D616" s="21" t="s">
        <v>1363</v>
      </c>
      <c r="E616" s="19" t="s">
        <v>1442</v>
      </c>
      <c r="F616" s="19" t="s">
        <v>1463</v>
      </c>
      <c r="G616" s="19" t="s">
        <v>1463</v>
      </c>
      <c r="H616" s="19"/>
      <c r="I616" s="19"/>
      <c r="J616" s="19" t="s">
        <v>19</v>
      </c>
      <c r="K616" s="19" t="s">
        <v>18</v>
      </c>
      <c r="L616" s="19" t="s">
        <v>19</v>
      </c>
      <c r="M616" s="19" t="s">
        <v>18</v>
      </c>
      <c r="N616" s="19" t="s">
        <v>19</v>
      </c>
      <c r="O616" s="19" t="s">
        <v>19</v>
      </c>
      <c r="P616" s="19">
        <v>103.13</v>
      </c>
      <c r="Q616" s="19">
        <v>3.48</v>
      </c>
      <c r="R616" s="19"/>
      <c r="S616" s="19"/>
    </row>
    <row r="617" spans="1:19" hidden="1" x14ac:dyDescent="0.25">
      <c r="A617" s="28">
        <v>3433105</v>
      </c>
      <c r="B617" s="15" t="s">
        <v>1549</v>
      </c>
      <c r="C617" s="19" t="s">
        <v>12</v>
      </c>
      <c r="D617" s="21" t="s">
        <v>1363</v>
      </c>
      <c r="E617" s="19" t="s">
        <v>1442</v>
      </c>
      <c r="F617" s="19" t="s">
        <v>1523</v>
      </c>
      <c r="G617" s="19" t="s">
        <v>1363</v>
      </c>
      <c r="H617" s="19" t="s">
        <v>1550</v>
      </c>
      <c r="I617" s="19"/>
      <c r="J617" s="19" t="s">
        <v>18</v>
      </c>
      <c r="K617" s="19" t="s">
        <v>18</v>
      </c>
      <c r="L617" s="19" t="s">
        <v>18</v>
      </c>
      <c r="M617" s="19" t="s">
        <v>19</v>
      </c>
      <c r="N617" s="19" t="s">
        <v>19</v>
      </c>
      <c r="O617" s="19" t="s">
        <v>19</v>
      </c>
      <c r="P617" s="19">
        <v>103.38333299999999</v>
      </c>
      <c r="Q617" s="19">
        <v>3.4694440000000002</v>
      </c>
      <c r="R617" s="19"/>
      <c r="S617" s="19" t="s">
        <v>41</v>
      </c>
    </row>
    <row r="618" spans="1:19" hidden="1" x14ac:dyDescent="0.25">
      <c r="A618" s="28">
        <v>3434001</v>
      </c>
      <c r="B618" s="15" t="s">
        <v>1442</v>
      </c>
      <c r="C618" s="19" t="s">
        <v>12</v>
      </c>
      <c r="D618" s="21" t="s">
        <v>1363</v>
      </c>
      <c r="E618" s="19" t="s">
        <v>1442</v>
      </c>
      <c r="F618" s="19"/>
      <c r="G618" s="19" t="s">
        <v>1463</v>
      </c>
      <c r="H618" s="19"/>
      <c r="I618" s="19"/>
      <c r="J618" s="19" t="s">
        <v>19</v>
      </c>
      <c r="K618" s="19" t="s">
        <v>18</v>
      </c>
      <c r="L618" s="19" t="s">
        <v>19</v>
      </c>
      <c r="M618" s="19" t="s">
        <v>18</v>
      </c>
      <c r="N618" s="19" t="s">
        <v>19</v>
      </c>
      <c r="O618" s="19" t="s">
        <v>19</v>
      </c>
      <c r="P618" s="19">
        <v>103.41</v>
      </c>
      <c r="Q618" s="19">
        <v>3.49</v>
      </c>
      <c r="R618" s="19"/>
      <c r="S618" s="19"/>
    </row>
    <row r="619" spans="1:19" hidden="1" x14ac:dyDescent="0.25">
      <c r="A619" s="28">
        <v>3510001</v>
      </c>
      <c r="B619" s="15" t="s">
        <v>384</v>
      </c>
      <c r="C619" s="19" t="s">
        <v>12</v>
      </c>
      <c r="D619" s="21" t="s">
        <v>13</v>
      </c>
      <c r="E619" s="19" t="s">
        <v>209</v>
      </c>
      <c r="F619" s="19" t="s">
        <v>356</v>
      </c>
      <c r="G619" s="19" t="s">
        <v>357</v>
      </c>
      <c r="H619" s="19" t="s">
        <v>365</v>
      </c>
      <c r="I619" s="19"/>
      <c r="J619" s="19" t="s">
        <v>18</v>
      </c>
      <c r="K619" s="19" t="s">
        <v>18</v>
      </c>
      <c r="L619" s="19" t="s">
        <v>19</v>
      </c>
      <c r="M619" s="19" t="s">
        <v>19</v>
      </c>
      <c r="N619" s="19" t="s">
        <v>18</v>
      </c>
      <c r="O619" s="19" t="s">
        <v>19</v>
      </c>
      <c r="P619" s="19">
        <v>101.09830599999999</v>
      </c>
      <c r="Q619" s="19">
        <v>3.517833</v>
      </c>
      <c r="R619" s="19"/>
      <c r="S619" s="19" t="s">
        <v>41</v>
      </c>
    </row>
    <row r="620" spans="1:19" hidden="1" x14ac:dyDescent="0.25">
      <c r="A620" s="28">
        <v>3510015</v>
      </c>
      <c r="B620" s="15" t="s">
        <v>385</v>
      </c>
      <c r="C620" s="19" t="s">
        <v>12</v>
      </c>
      <c r="D620" s="21" t="s">
        <v>13</v>
      </c>
      <c r="E620" s="19" t="s">
        <v>209</v>
      </c>
      <c r="F620" s="19"/>
      <c r="G620" s="19"/>
      <c r="H620" s="19" t="s">
        <v>386</v>
      </c>
      <c r="I620" s="19" t="s">
        <v>387</v>
      </c>
      <c r="J620" s="19" t="s">
        <v>19</v>
      </c>
      <c r="K620" s="19" t="s">
        <v>19</v>
      </c>
      <c r="L620" s="19" t="s">
        <v>18</v>
      </c>
      <c r="M620" s="19" t="s">
        <v>19</v>
      </c>
      <c r="N620" s="19" t="s">
        <v>19</v>
      </c>
      <c r="O620" s="19" t="s">
        <v>19</v>
      </c>
      <c r="P620" s="19">
        <v>101.079167</v>
      </c>
      <c r="Q620" s="19">
        <v>3.5680559999999999</v>
      </c>
      <c r="R620" s="19"/>
      <c r="S620" s="19" t="s">
        <v>41</v>
      </c>
    </row>
    <row r="621" spans="1:19" hidden="1" x14ac:dyDescent="0.25">
      <c r="A621" s="28">
        <v>3511001</v>
      </c>
      <c r="B621" s="15" t="s">
        <v>388</v>
      </c>
      <c r="C621" s="19" t="s">
        <v>12</v>
      </c>
      <c r="D621" s="21" t="s">
        <v>13</v>
      </c>
      <c r="E621" s="19" t="s">
        <v>209</v>
      </c>
      <c r="F621" s="19"/>
      <c r="G621" s="19"/>
      <c r="H621" s="19" t="s">
        <v>326</v>
      </c>
      <c r="I621" s="19" t="s">
        <v>358</v>
      </c>
      <c r="J621" s="19" t="s">
        <v>19</v>
      </c>
      <c r="K621" s="19" t="s">
        <v>19</v>
      </c>
      <c r="L621" s="19" t="s">
        <v>18</v>
      </c>
      <c r="M621" s="19" t="s">
        <v>19</v>
      </c>
      <c r="N621" s="19" t="s">
        <v>19</v>
      </c>
      <c r="O621" s="19" t="s">
        <v>19</v>
      </c>
      <c r="P621" s="19">
        <v>101.11111099999999</v>
      </c>
      <c r="Q621" s="19">
        <v>3.5</v>
      </c>
      <c r="R621" s="19"/>
      <c r="S621" s="19" t="s">
        <v>41</v>
      </c>
    </row>
    <row r="622" spans="1:19" hidden="1" x14ac:dyDescent="0.25">
      <c r="A622" s="28">
        <v>3511002</v>
      </c>
      <c r="B622" s="15" t="s">
        <v>389</v>
      </c>
      <c r="C622" s="19" t="s">
        <v>12</v>
      </c>
      <c r="D622" s="21" t="s">
        <v>13</v>
      </c>
      <c r="E622" s="19" t="s">
        <v>390</v>
      </c>
      <c r="F622" s="19" t="s">
        <v>356</v>
      </c>
      <c r="G622" s="19" t="s">
        <v>357</v>
      </c>
      <c r="H622" s="19"/>
      <c r="I622" s="19"/>
      <c r="J622" s="19" t="s">
        <v>18</v>
      </c>
      <c r="K622" s="19" t="s">
        <v>18</v>
      </c>
      <c r="L622" s="19" t="s">
        <v>19</v>
      </c>
      <c r="M622" s="19" t="s">
        <v>19</v>
      </c>
      <c r="N622" s="19" t="s">
        <v>18</v>
      </c>
      <c r="O622" s="19" t="s">
        <v>19</v>
      </c>
      <c r="P622" s="19">
        <v>101.117778</v>
      </c>
      <c r="Q622" s="19">
        <v>3.5744440000000002</v>
      </c>
      <c r="R622" s="19"/>
      <c r="S622" s="19"/>
    </row>
    <row r="623" spans="1:19" hidden="1" x14ac:dyDescent="0.25">
      <c r="A623" s="28">
        <v>3511201</v>
      </c>
      <c r="B623" s="15" t="s">
        <v>2650</v>
      </c>
      <c r="C623" s="19" t="s">
        <v>12</v>
      </c>
      <c r="D623" s="21" t="s">
        <v>13</v>
      </c>
      <c r="E623" s="19" t="s">
        <v>209</v>
      </c>
      <c r="F623" s="19" t="s">
        <v>356</v>
      </c>
      <c r="G623" s="19" t="s">
        <v>357</v>
      </c>
      <c r="H623" s="19"/>
      <c r="I623" s="19"/>
      <c r="J623" s="19" t="s">
        <v>18</v>
      </c>
      <c r="K623" s="19" t="s">
        <v>18</v>
      </c>
      <c r="L623" s="19" t="s">
        <v>19</v>
      </c>
      <c r="M623" s="19" t="s">
        <v>19</v>
      </c>
      <c r="N623" s="19" t="s">
        <v>18</v>
      </c>
      <c r="O623" s="19" t="s">
        <v>19</v>
      </c>
      <c r="P623" s="19">
        <v>101.13758300000001</v>
      </c>
      <c r="Q623" s="19">
        <v>3.4666670000000002</v>
      </c>
      <c r="R623" s="19"/>
      <c r="S623" s="19"/>
    </row>
    <row r="624" spans="1:19" hidden="1" x14ac:dyDescent="0.25">
      <c r="A624" s="28">
        <v>3515027</v>
      </c>
      <c r="B624" s="15" t="s">
        <v>391</v>
      </c>
      <c r="C624" s="19" t="s">
        <v>12</v>
      </c>
      <c r="D624" s="21" t="s">
        <v>13</v>
      </c>
      <c r="E624" s="19" t="s">
        <v>275</v>
      </c>
      <c r="F624" s="19" t="s">
        <v>392</v>
      </c>
      <c r="G624" s="19" t="s">
        <v>13</v>
      </c>
      <c r="H624" s="19" t="s">
        <v>393</v>
      </c>
      <c r="I624" s="19" t="s">
        <v>394</v>
      </c>
      <c r="J624" s="19" t="s">
        <v>19</v>
      </c>
      <c r="K624" s="19" t="s">
        <v>19</v>
      </c>
      <c r="L624" s="19" t="s">
        <v>18</v>
      </c>
      <c r="M624" s="19" t="s">
        <v>19</v>
      </c>
      <c r="N624" s="19" t="s">
        <v>19</v>
      </c>
      <c r="O624" s="19" t="s">
        <v>19</v>
      </c>
      <c r="P624" s="19">
        <v>101.538889</v>
      </c>
      <c r="Q624" s="19">
        <v>3.5666669999999998</v>
      </c>
      <c r="R624" s="19"/>
      <c r="S624" s="19" t="s">
        <v>20</v>
      </c>
    </row>
    <row r="625" spans="1:19" hidden="1" x14ac:dyDescent="0.25">
      <c r="A625" s="28">
        <v>3515028</v>
      </c>
      <c r="B625" s="15" t="s">
        <v>395</v>
      </c>
      <c r="C625" s="19" t="s">
        <v>12</v>
      </c>
      <c r="D625" s="21" t="s">
        <v>13</v>
      </c>
      <c r="E625" s="19" t="s">
        <v>275</v>
      </c>
      <c r="F625" s="19" t="s">
        <v>392</v>
      </c>
      <c r="G625" s="19" t="s">
        <v>13</v>
      </c>
      <c r="H625" s="19"/>
      <c r="I625" s="19"/>
      <c r="J625" s="19" t="s">
        <v>18</v>
      </c>
      <c r="K625" s="19" t="s">
        <v>18</v>
      </c>
      <c r="L625" s="19" t="s">
        <v>19</v>
      </c>
      <c r="M625" s="19" t="s">
        <v>19</v>
      </c>
      <c r="N625" s="19" t="s">
        <v>18</v>
      </c>
      <c r="O625" s="19" t="s">
        <v>19</v>
      </c>
      <c r="P625" s="19">
        <v>101.541389</v>
      </c>
      <c r="Q625" s="19">
        <v>3.5652780000000002</v>
      </c>
      <c r="R625" s="19"/>
      <c r="S625" s="19"/>
    </row>
    <row r="626" spans="1:19" hidden="1" x14ac:dyDescent="0.25">
      <c r="A626" s="28">
        <v>3516022</v>
      </c>
      <c r="B626" s="15" t="s">
        <v>396</v>
      </c>
      <c r="C626" s="19" t="s">
        <v>12</v>
      </c>
      <c r="D626" s="21" t="s">
        <v>13</v>
      </c>
      <c r="E626" s="19" t="s">
        <v>275</v>
      </c>
      <c r="F626" s="19" t="s">
        <v>397</v>
      </c>
      <c r="G626" s="19" t="s">
        <v>13</v>
      </c>
      <c r="H626" s="19" t="s">
        <v>317</v>
      </c>
      <c r="I626" s="19"/>
      <c r="J626" s="19" t="s">
        <v>18</v>
      </c>
      <c r="K626" s="19" t="s">
        <v>18</v>
      </c>
      <c r="L626" s="19" t="s">
        <v>19</v>
      </c>
      <c r="M626" s="19" t="s">
        <v>18</v>
      </c>
      <c r="N626" s="19" t="s">
        <v>18</v>
      </c>
      <c r="O626" s="19" t="s">
        <v>19</v>
      </c>
      <c r="P626" s="19">
        <v>101.665556</v>
      </c>
      <c r="Q626" s="19">
        <v>3.5758329999999998</v>
      </c>
      <c r="R626" s="19"/>
      <c r="S626" s="19" t="s">
        <v>41</v>
      </c>
    </row>
    <row r="627" spans="1:19" hidden="1" x14ac:dyDescent="0.25">
      <c r="A627" s="28">
        <v>3516023</v>
      </c>
      <c r="B627" s="15" t="s">
        <v>398</v>
      </c>
      <c r="C627" s="19" t="s">
        <v>12</v>
      </c>
      <c r="D627" s="21" t="s">
        <v>13</v>
      </c>
      <c r="E627" s="19" t="s">
        <v>275</v>
      </c>
      <c r="F627" s="19"/>
      <c r="G627" s="19" t="s">
        <v>13</v>
      </c>
      <c r="H627" s="19" t="s">
        <v>1863</v>
      </c>
      <c r="I627" s="19" t="s">
        <v>655</v>
      </c>
      <c r="J627" s="19" t="s">
        <v>19</v>
      </c>
      <c r="K627" s="19" t="s">
        <v>19</v>
      </c>
      <c r="L627" s="19" t="s">
        <v>18</v>
      </c>
      <c r="M627" s="19" t="s">
        <v>19</v>
      </c>
      <c r="N627" s="19" t="s">
        <v>19</v>
      </c>
      <c r="O627" s="19" t="s">
        <v>19</v>
      </c>
      <c r="P627" s="19">
        <v>101.655556</v>
      </c>
      <c r="Q627" s="19">
        <v>3.5680559999999999</v>
      </c>
      <c r="R627" s="19"/>
      <c r="S627" s="19" t="s">
        <v>399</v>
      </c>
    </row>
    <row r="628" spans="1:19" hidden="1" x14ac:dyDescent="0.25">
      <c r="A628" s="28">
        <v>3516025</v>
      </c>
      <c r="B628" s="15" t="s">
        <v>400</v>
      </c>
      <c r="C628" s="19" t="s">
        <v>12</v>
      </c>
      <c r="D628" s="21" t="s">
        <v>13</v>
      </c>
      <c r="E628" s="19" t="s">
        <v>275</v>
      </c>
      <c r="F628" s="19" t="s">
        <v>305</v>
      </c>
      <c r="G628" s="19" t="s">
        <v>305</v>
      </c>
      <c r="H628" s="19"/>
      <c r="I628" s="19"/>
      <c r="J628" s="19" t="s">
        <v>19</v>
      </c>
      <c r="K628" s="19" t="s">
        <v>18</v>
      </c>
      <c r="L628" s="19" t="s">
        <v>19</v>
      </c>
      <c r="M628" s="19" t="s">
        <v>18</v>
      </c>
      <c r="N628" s="19" t="s">
        <v>19</v>
      </c>
      <c r="O628" s="19" t="s">
        <v>19</v>
      </c>
      <c r="P628" s="19">
        <v>101.663417</v>
      </c>
      <c r="Q628" s="19">
        <v>3.5403889999999998</v>
      </c>
      <c r="R628" s="19"/>
      <c r="S628" s="19"/>
    </row>
    <row r="629" spans="1:19" hidden="1" x14ac:dyDescent="0.25">
      <c r="A629" s="28">
        <v>3516026</v>
      </c>
      <c r="B629" s="15" t="s">
        <v>401</v>
      </c>
      <c r="C629" s="19" t="s">
        <v>12</v>
      </c>
      <c r="D629" s="21" t="s">
        <v>13</v>
      </c>
      <c r="E629" s="19" t="s">
        <v>275</v>
      </c>
      <c r="F629" s="19" t="s">
        <v>402</v>
      </c>
      <c r="G629" s="19" t="s">
        <v>305</v>
      </c>
      <c r="H629" s="19"/>
      <c r="I629" s="19"/>
      <c r="J629" s="19" t="s">
        <v>19</v>
      </c>
      <c r="K629" s="19" t="s">
        <v>18</v>
      </c>
      <c r="L629" s="19" t="s">
        <v>19</v>
      </c>
      <c r="M629" s="19" t="s">
        <v>18</v>
      </c>
      <c r="N629" s="19" t="s">
        <v>19</v>
      </c>
      <c r="O629" s="19" t="s">
        <v>19</v>
      </c>
      <c r="P629" s="19">
        <v>101.60633300000001</v>
      </c>
      <c r="Q629" s="19">
        <v>3.5883609999999999</v>
      </c>
      <c r="R629" s="19"/>
      <c r="S629" s="19"/>
    </row>
    <row r="630" spans="1:19" hidden="1" x14ac:dyDescent="0.25">
      <c r="A630" s="28">
        <v>3516027</v>
      </c>
      <c r="B630" s="15" t="s">
        <v>403</v>
      </c>
      <c r="C630" s="19" t="s">
        <v>12</v>
      </c>
      <c r="D630" s="21" t="s">
        <v>13</v>
      </c>
      <c r="E630" s="19" t="s">
        <v>275</v>
      </c>
      <c r="F630" s="19" t="s">
        <v>224</v>
      </c>
      <c r="G630" s="19" t="s">
        <v>13</v>
      </c>
      <c r="H630" s="19"/>
      <c r="I630" s="19"/>
      <c r="J630" s="19" t="s">
        <v>18</v>
      </c>
      <c r="K630" s="19" t="s">
        <v>18</v>
      </c>
      <c r="L630" s="19" t="s">
        <v>19</v>
      </c>
      <c r="M630" s="19" t="s">
        <v>19</v>
      </c>
      <c r="N630" s="19" t="s">
        <v>18</v>
      </c>
      <c r="O630" s="19" t="s">
        <v>19</v>
      </c>
      <c r="P630" s="19">
        <v>101.62861100000001</v>
      </c>
      <c r="Q630" s="19">
        <v>3.5002779999999998</v>
      </c>
      <c r="R630" s="19"/>
      <c r="S630" s="19"/>
    </row>
    <row r="631" spans="1:19" hidden="1" x14ac:dyDescent="0.25">
      <c r="A631" s="28">
        <v>3517022</v>
      </c>
      <c r="B631" s="15" t="s">
        <v>404</v>
      </c>
      <c r="C631" s="19" t="s">
        <v>12</v>
      </c>
      <c r="D631" s="21" t="s">
        <v>13</v>
      </c>
      <c r="E631" s="19" t="s">
        <v>275</v>
      </c>
      <c r="F631" s="19" t="s">
        <v>405</v>
      </c>
      <c r="G631" s="19" t="s">
        <v>13</v>
      </c>
      <c r="H631" s="19"/>
      <c r="I631" s="19"/>
      <c r="J631" s="19" t="s">
        <v>18</v>
      </c>
      <c r="K631" s="19" t="s">
        <v>18</v>
      </c>
      <c r="L631" s="19" t="s">
        <v>19</v>
      </c>
      <c r="M631" s="19" t="s">
        <v>19</v>
      </c>
      <c r="N631" s="19" t="s">
        <v>18</v>
      </c>
      <c r="O631" s="19" t="s">
        <v>19</v>
      </c>
      <c r="P631" s="19">
        <v>101.728056</v>
      </c>
      <c r="Q631" s="19">
        <v>3.5816669999999999</v>
      </c>
      <c r="R631" s="19"/>
      <c r="S631" s="19"/>
    </row>
    <row r="632" spans="1:19" hidden="1" x14ac:dyDescent="0.25">
      <c r="A632" s="28">
        <v>3518001</v>
      </c>
      <c r="B632" s="15" t="s">
        <v>1551</v>
      </c>
      <c r="C632" s="19" t="s">
        <v>12</v>
      </c>
      <c r="D632" s="21" t="s">
        <v>1363</v>
      </c>
      <c r="E632" s="19" t="s">
        <v>1552</v>
      </c>
      <c r="F632" s="19"/>
      <c r="G632" s="19" t="s">
        <v>1463</v>
      </c>
      <c r="H632" s="19"/>
      <c r="I632" s="19"/>
      <c r="J632" s="19" t="s">
        <v>19</v>
      </c>
      <c r="K632" s="19" t="s">
        <v>18</v>
      </c>
      <c r="L632" s="19" t="s">
        <v>19</v>
      </c>
      <c r="M632" s="19" t="s">
        <v>18</v>
      </c>
      <c r="N632" s="19" t="s">
        <v>19</v>
      </c>
      <c r="O632" s="19" t="s">
        <v>19</v>
      </c>
      <c r="P632" s="19">
        <v>101.88</v>
      </c>
      <c r="Q632" s="19">
        <v>3.56</v>
      </c>
      <c r="R632" s="19"/>
      <c r="S632" s="19"/>
    </row>
    <row r="633" spans="1:19" hidden="1" x14ac:dyDescent="0.25">
      <c r="A633" s="28">
        <v>3519125</v>
      </c>
      <c r="B633" s="15" t="s">
        <v>1553</v>
      </c>
      <c r="C633" s="19" t="s">
        <v>12</v>
      </c>
      <c r="D633" s="21" t="s">
        <v>1363</v>
      </c>
      <c r="E633" s="19" t="s">
        <v>1481</v>
      </c>
      <c r="F633" s="19" t="s">
        <v>1516</v>
      </c>
      <c r="G633" s="19" t="s">
        <v>1481</v>
      </c>
      <c r="H633" s="19" t="s">
        <v>1554</v>
      </c>
      <c r="I633" s="19"/>
      <c r="J633" s="19" t="s">
        <v>18</v>
      </c>
      <c r="K633" s="19" t="s">
        <v>18</v>
      </c>
      <c r="L633" s="19" t="s">
        <v>19</v>
      </c>
      <c r="M633" s="19" t="s">
        <v>18</v>
      </c>
      <c r="N633" s="19" t="s">
        <v>18</v>
      </c>
      <c r="O633" s="19" t="s">
        <v>19</v>
      </c>
      <c r="P633" s="19">
        <v>101.915278</v>
      </c>
      <c r="Q633" s="19">
        <v>3.5125000000000002</v>
      </c>
      <c r="R633" s="19"/>
      <c r="S633" s="19" t="s">
        <v>41</v>
      </c>
    </row>
    <row r="634" spans="1:19" hidden="1" x14ac:dyDescent="0.25">
      <c r="A634" s="28">
        <v>3522136</v>
      </c>
      <c r="B634" s="15" t="s">
        <v>1555</v>
      </c>
      <c r="C634" s="19" t="s">
        <v>12</v>
      </c>
      <c r="D634" s="21" t="s">
        <v>1363</v>
      </c>
      <c r="E634" s="19" t="s">
        <v>1533</v>
      </c>
      <c r="F634" s="19" t="s">
        <v>1521</v>
      </c>
      <c r="G634" s="19" t="s">
        <v>1363</v>
      </c>
      <c r="H634" s="19" t="s">
        <v>1437</v>
      </c>
      <c r="I634" s="19" t="s">
        <v>1427</v>
      </c>
      <c r="J634" s="19" t="s">
        <v>19</v>
      </c>
      <c r="K634" s="19" t="s">
        <v>19</v>
      </c>
      <c r="L634" s="19" t="s">
        <v>18</v>
      </c>
      <c r="M634" s="19" t="s">
        <v>19</v>
      </c>
      <c r="N634" s="19" t="s">
        <v>19</v>
      </c>
      <c r="O634" s="19" t="s">
        <v>19</v>
      </c>
      <c r="P634" s="19">
        <v>102.288889</v>
      </c>
      <c r="Q634" s="19">
        <v>3.5013890000000001</v>
      </c>
      <c r="R634" s="19"/>
      <c r="S634" s="19" t="s">
        <v>41</v>
      </c>
    </row>
    <row r="635" spans="1:19" hidden="1" x14ac:dyDescent="0.25">
      <c r="A635" s="28">
        <v>3523079</v>
      </c>
      <c r="B635" s="15" t="s">
        <v>1556</v>
      </c>
      <c r="C635" s="19" t="s">
        <v>12</v>
      </c>
      <c r="D635" s="21" t="s">
        <v>1363</v>
      </c>
      <c r="E635" s="19" t="s">
        <v>1533</v>
      </c>
      <c r="F635" s="19" t="s">
        <v>1523</v>
      </c>
      <c r="G635" s="19" t="s">
        <v>1363</v>
      </c>
      <c r="H635" s="19" t="s">
        <v>1557</v>
      </c>
      <c r="I635" s="19"/>
      <c r="J635" s="19" t="s">
        <v>18</v>
      </c>
      <c r="K635" s="19" t="s">
        <v>18</v>
      </c>
      <c r="L635" s="19" t="s">
        <v>18</v>
      </c>
      <c r="M635" s="19" t="s">
        <v>19</v>
      </c>
      <c r="N635" s="19" t="s">
        <v>19</v>
      </c>
      <c r="O635" s="19" t="s">
        <v>19</v>
      </c>
      <c r="P635" s="19">
        <v>102.376389</v>
      </c>
      <c r="Q635" s="19">
        <v>3.5736110000000001</v>
      </c>
      <c r="R635" s="19"/>
      <c r="S635" s="19" t="s">
        <v>544</v>
      </c>
    </row>
    <row r="636" spans="1:19" hidden="1" x14ac:dyDescent="0.25">
      <c r="A636" s="28">
        <v>3523137</v>
      </c>
      <c r="B636" s="15" t="s">
        <v>1558</v>
      </c>
      <c r="C636" s="19" t="s">
        <v>12</v>
      </c>
      <c r="D636" s="21" t="s">
        <v>1363</v>
      </c>
      <c r="E636" s="19" t="s">
        <v>1533</v>
      </c>
      <c r="F636" s="19" t="s">
        <v>1521</v>
      </c>
      <c r="G636" s="19" t="s">
        <v>1363</v>
      </c>
      <c r="H636" s="19" t="s">
        <v>1559</v>
      </c>
      <c r="I636" s="19"/>
      <c r="J636" s="19" t="s">
        <v>18</v>
      </c>
      <c r="K636" s="19" t="s">
        <v>18</v>
      </c>
      <c r="L636" s="19" t="s">
        <v>18</v>
      </c>
      <c r="M636" s="19" t="s">
        <v>19</v>
      </c>
      <c r="N636" s="19" t="s">
        <v>19</v>
      </c>
      <c r="O636" s="19" t="s">
        <v>19</v>
      </c>
      <c r="P636" s="19">
        <v>102.336111</v>
      </c>
      <c r="Q636" s="19">
        <v>3.5083329999999999</v>
      </c>
      <c r="R636" s="19"/>
      <c r="S636" s="19" t="s">
        <v>20</v>
      </c>
    </row>
    <row r="637" spans="1:19" hidden="1" x14ac:dyDescent="0.25">
      <c r="A637" s="28">
        <v>3524080</v>
      </c>
      <c r="B637" s="15" t="s">
        <v>1560</v>
      </c>
      <c r="C637" s="19" t="s">
        <v>12</v>
      </c>
      <c r="D637" s="21" t="s">
        <v>1363</v>
      </c>
      <c r="E637" s="19" t="s">
        <v>1533</v>
      </c>
      <c r="F637" s="19" t="s">
        <v>1521</v>
      </c>
      <c r="G637" s="19" t="s">
        <v>1363</v>
      </c>
      <c r="H637" s="19" t="s">
        <v>1525</v>
      </c>
      <c r="I637" s="19"/>
      <c r="J637" s="19" t="s">
        <v>18</v>
      </c>
      <c r="K637" s="19" t="s">
        <v>18</v>
      </c>
      <c r="L637" s="19" t="s">
        <v>18</v>
      </c>
      <c r="M637" s="19" t="s">
        <v>19</v>
      </c>
      <c r="N637" s="19" t="s">
        <v>19</v>
      </c>
      <c r="O637" s="19" t="s">
        <v>19</v>
      </c>
      <c r="P637" s="19">
        <v>102.430556</v>
      </c>
      <c r="Q637" s="19">
        <v>3.5180560000000001</v>
      </c>
      <c r="R637" s="19"/>
      <c r="S637" s="19" t="s">
        <v>41</v>
      </c>
    </row>
    <row r="638" spans="1:19" hidden="1" x14ac:dyDescent="0.25">
      <c r="A638" s="28">
        <v>3527092</v>
      </c>
      <c r="B638" s="15" t="s">
        <v>1561</v>
      </c>
      <c r="C638" s="19" t="s">
        <v>12</v>
      </c>
      <c r="D638" s="21" t="s">
        <v>1363</v>
      </c>
      <c r="E638" s="19" t="s">
        <v>1442</v>
      </c>
      <c r="F638" s="19" t="s">
        <v>1523</v>
      </c>
      <c r="G638" s="19" t="s">
        <v>1363</v>
      </c>
      <c r="H638" s="19" t="s">
        <v>1537</v>
      </c>
      <c r="I638" s="19"/>
      <c r="J638" s="19" t="s">
        <v>18</v>
      </c>
      <c r="K638" s="19" t="s">
        <v>18</v>
      </c>
      <c r="L638" s="19" t="s">
        <v>18</v>
      </c>
      <c r="M638" s="19" t="s">
        <v>18</v>
      </c>
      <c r="N638" s="19" t="s">
        <v>19</v>
      </c>
      <c r="O638" s="19" t="s">
        <v>19</v>
      </c>
      <c r="P638" s="19">
        <v>102.777778</v>
      </c>
      <c r="Q638" s="19">
        <v>3.519444</v>
      </c>
      <c r="R638" s="19"/>
      <c r="S638" s="19" t="s">
        <v>41</v>
      </c>
    </row>
    <row r="639" spans="1:19" hidden="1" x14ac:dyDescent="0.25">
      <c r="A639" s="28">
        <v>3527094</v>
      </c>
      <c r="B639" s="15" t="s">
        <v>1562</v>
      </c>
      <c r="C639" s="19" t="s">
        <v>12</v>
      </c>
      <c r="D639" s="21" t="s">
        <v>1363</v>
      </c>
      <c r="E639" s="19" t="s">
        <v>1563</v>
      </c>
      <c r="F639" s="19" t="s">
        <v>1564</v>
      </c>
      <c r="G639" s="19" t="s">
        <v>1363</v>
      </c>
      <c r="H639" s="19" t="s">
        <v>145</v>
      </c>
      <c r="I639" s="19"/>
      <c r="J639" s="19" t="s">
        <v>19</v>
      </c>
      <c r="K639" s="19" t="s">
        <v>19</v>
      </c>
      <c r="L639" s="19" t="s">
        <v>18</v>
      </c>
      <c r="M639" s="19" t="s">
        <v>19</v>
      </c>
      <c r="N639" s="19" t="s">
        <v>19</v>
      </c>
      <c r="O639" s="19" t="s">
        <v>19</v>
      </c>
      <c r="P639" s="19">
        <v>102.770833</v>
      </c>
      <c r="Q639" s="19">
        <v>3.5805560000000001</v>
      </c>
      <c r="R639" s="19"/>
      <c r="S639" s="19" t="s">
        <v>164</v>
      </c>
    </row>
    <row r="640" spans="1:19" hidden="1" x14ac:dyDescent="0.25">
      <c r="A640" s="28">
        <v>3532101</v>
      </c>
      <c r="B640" s="15" t="s">
        <v>1565</v>
      </c>
      <c r="C640" s="19" t="s">
        <v>12</v>
      </c>
      <c r="D640" s="21" t="s">
        <v>1363</v>
      </c>
      <c r="E640" s="19" t="s">
        <v>1442</v>
      </c>
      <c r="F640" s="19" t="s">
        <v>1523</v>
      </c>
      <c r="G640" s="19" t="s">
        <v>1363</v>
      </c>
      <c r="H640" s="19" t="s">
        <v>1041</v>
      </c>
      <c r="I640" s="19"/>
      <c r="J640" s="19" t="s">
        <v>18</v>
      </c>
      <c r="K640" s="19" t="s">
        <v>18</v>
      </c>
      <c r="L640" s="19" t="s">
        <v>18</v>
      </c>
      <c r="M640" s="19" t="s">
        <v>19</v>
      </c>
      <c r="N640" s="19" t="s">
        <v>19</v>
      </c>
      <c r="O640" s="19" t="s">
        <v>19</v>
      </c>
      <c r="P640" s="19">
        <v>103.24722199999999</v>
      </c>
      <c r="Q640" s="19">
        <v>3.536111</v>
      </c>
      <c r="R640" s="19"/>
      <c r="S640" s="19" t="s">
        <v>41</v>
      </c>
    </row>
    <row r="641" spans="1:19" hidden="1" x14ac:dyDescent="0.25">
      <c r="A641" s="28">
        <v>3533102</v>
      </c>
      <c r="B641" s="15" t="s">
        <v>1566</v>
      </c>
      <c r="C641" s="19" t="s">
        <v>12</v>
      </c>
      <c r="D641" s="21" t="s">
        <v>1363</v>
      </c>
      <c r="E641" s="19" t="s">
        <v>1442</v>
      </c>
      <c r="F641" s="19" t="s">
        <v>1523</v>
      </c>
      <c r="G641" s="19" t="s">
        <v>1363</v>
      </c>
      <c r="H641" s="19" t="s">
        <v>468</v>
      </c>
      <c r="I641" s="19"/>
      <c r="J641" s="19" t="s">
        <v>18</v>
      </c>
      <c r="K641" s="19" t="s">
        <v>18</v>
      </c>
      <c r="L641" s="19" t="s">
        <v>19</v>
      </c>
      <c r="M641" s="19" t="s">
        <v>18</v>
      </c>
      <c r="N641" s="19" t="s">
        <v>18</v>
      </c>
      <c r="O641" s="19" t="s">
        <v>19</v>
      </c>
      <c r="P641" s="19">
        <v>103.356944</v>
      </c>
      <c r="Q641" s="19">
        <v>3.5611109999999999</v>
      </c>
      <c r="R641" s="19"/>
      <c r="S641" s="19" t="s">
        <v>41</v>
      </c>
    </row>
    <row r="642" spans="1:19" hidden="1" x14ac:dyDescent="0.25">
      <c r="A642" s="28">
        <v>3534103</v>
      </c>
      <c r="B642" s="15" t="s">
        <v>1567</v>
      </c>
      <c r="C642" s="19" t="s">
        <v>12</v>
      </c>
      <c r="D642" s="21" t="s">
        <v>1363</v>
      </c>
      <c r="E642" s="19" t="s">
        <v>1442</v>
      </c>
      <c r="F642" s="19" t="s">
        <v>1523</v>
      </c>
      <c r="G642" s="19" t="s">
        <v>1363</v>
      </c>
      <c r="H642" s="19" t="s">
        <v>301</v>
      </c>
      <c r="I642" s="19"/>
      <c r="J642" s="19" t="s">
        <v>18</v>
      </c>
      <c r="K642" s="19" t="s">
        <v>18</v>
      </c>
      <c r="L642" s="19" t="s">
        <v>18</v>
      </c>
      <c r="M642" s="19" t="s">
        <v>19</v>
      </c>
      <c r="N642" s="19" t="s">
        <v>19</v>
      </c>
      <c r="O642" s="19" t="s">
        <v>19</v>
      </c>
      <c r="P642" s="19">
        <v>103.465278</v>
      </c>
      <c r="Q642" s="19">
        <v>3.5333329999999998</v>
      </c>
      <c r="R642" s="19"/>
      <c r="S642" s="19" t="s">
        <v>41</v>
      </c>
    </row>
    <row r="643" spans="1:19" hidden="1" x14ac:dyDescent="0.25">
      <c r="A643" s="28">
        <v>3609012</v>
      </c>
      <c r="B643" s="15" t="s">
        <v>406</v>
      </c>
      <c r="C643" s="19" t="s">
        <v>12</v>
      </c>
      <c r="D643" s="21" t="s">
        <v>13</v>
      </c>
      <c r="E643" s="19" t="s">
        <v>390</v>
      </c>
      <c r="F643" s="19" t="s">
        <v>407</v>
      </c>
      <c r="G643" s="19" t="s">
        <v>357</v>
      </c>
      <c r="H643" s="19" t="s">
        <v>408</v>
      </c>
      <c r="I643" s="19"/>
      <c r="J643" s="19" t="s">
        <v>18</v>
      </c>
      <c r="K643" s="19" t="s">
        <v>18</v>
      </c>
      <c r="L643" s="19" t="s">
        <v>19</v>
      </c>
      <c r="M643" s="19" t="s">
        <v>19</v>
      </c>
      <c r="N643" s="19" t="s">
        <v>18</v>
      </c>
      <c r="O643" s="19" t="s">
        <v>19</v>
      </c>
      <c r="P643" s="19">
        <v>100.992028</v>
      </c>
      <c r="Q643" s="19">
        <v>3.681667</v>
      </c>
      <c r="R643" s="19"/>
      <c r="S643" s="19" t="s">
        <v>41</v>
      </c>
    </row>
    <row r="644" spans="1:19" hidden="1" x14ac:dyDescent="0.25">
      <c r="A644" s="28">
        <v>3609013</v>
      </c>
      <c r="B644" s="15" t="s">
        <v>409</v>
      </c>
      <c r="C644" s="19" t="s">
        <v>12</v>
      </c>
      <c r="D644" s="21" t="s">
        <v>13</v>
      </c>
      <c r="E644" s="19" t="s">
        <v>390</v>
      </c>
      <c r="F644" s="19" t="s">
        <v>407</v>
      </c>
      <c r="G644" s="19" t="s">
        <v>407</v>
      </c>
      <c r="H644" s="19" t="s">
        <v>410</v>
      </c>
      <c r="I644" s="19" t="s">
        <v>411</v>
      </c>
      <c r="J644" s="19" t="s">
        <v>19</v>
      </c>
      <c r="K644" s="19" t="s">
        <v>19</v>
      </c>
      <c r="L644" s="19" t="s">
        <v>18</v>
      </c>
      <c r="M644" s="19" t="s">
        <v>19</v>
      </c>
      <c r="N644" s="19" t="s">
        <v>19</v>
      </c>
      <c r="O644" s="19" t="s">
        <v>19</v>
      </c>
      <c r="P644" s="19">
        <v>100.9875</v>
      </c>
      <c r="Q644" s="19">
        <v>3.6736110000000002</v>
      </c>
      <c r="R644" s="19"/>
      <c r="S644" s="19" t="s">
        <v>41</v>
      </c>
    </row>
    <row r="645" spans="1:19" hidden="1" x14ac:dyDescent="0.25">
      <c r="A645" s="28">
        <v>3609014</v>
      </c>
      <c r="B645" s="15" t="s">
        <v>412</v>
      </c>
      <c r="C645" s="19" t="s">
        <v>12</v>
      </c>
      <c r="D645" s="21" t="s">
        <v>13</v>
      </c>
      <c r="E645" s="19" t="s">
        <v>390</v>
      </c>
      <c r="F645" s="19" t="s">
        <v>407</v>
      </c>
      <c r="G645" s="19" t="s">
        <v>357</v>
      </c>
      <c r="H645" s="19"/>
      <c r="I645" s="19"/>
      <c r="J645" s="19" t="s">
        <v>18</v>
      </c>
      <c r="K645" s="19" t="s">
        <v>18</v>
      </c>
      <c r="L645" s="19" t="s">
        <v>19</v>
      </c>
      <c r="M645" s="19" t="s">
        <v>19</v>
      </c>
      <c r="N645" s="19" t="s">
        <v>18</v>
      </c>
      <c r="O645" s="19" t="s">
        <v>19</v>
      </c>
      <c r="P645" s="19">
        <v>100.940833</v>
      </c>
      <c r="Q645" s="19">
        <v>3.696278</v>
      </c>
      <c r="R645" s="19"/>
      <c r="S645" s="19"/>
    </row>
    <row r="646" spans="1:19" hidden="1" x14ac:dyDescent="0.25">
      <c r="A646" s="28">
        <v>3610001</v>
      </c>
      <c r="B646" s="15" t="s">
        <v>413</v>
      </c>
      <c r="C646" s="19" t="s">
        <v>12</v>
      </c>
      <c r="D646" s="21" t="s">
        <v>13</v>
      </c>
      <c r="E646" s="19" t="s">
        <v>390</v>
      </c>
      <c r="F646" s="19" t="s">
        <v>414</v>
      </c>
      <c r="G646" s="19" t="s">
        <v>357</v>
      </c>
      <c r="H646" s="19" t="s">
        <v>365</v>
      </c>
      <c r="I646" s="19"/>
      <c r="J646" s="19" t="s">
        <v>18</v>
      </c>
      <c r="K646" s="19" t="s">
        <v>18</v>
      </c>
      <c r="L646" s="19" t="s">
        <v>19</v>
      </c>
      <c r="M646" s="19" t="s">
        <v>19</v>
      </c>
      <c r="N646" s="19" t="s">
        <v>18</v>
      </c>
      <c r="O646" s="19" t="s">
        <v>19</v>
      </c>
      <c r="P646" s="19">
        <v>101.0505</v>
      </c>
      <c r="Q646" s="19">
        <v>3.6625000000000001</v>
      </c>
      <c r="R646" s="19"/>
      <c r="S646" s="19" t="s">
        <v>41</v>
      </c>
    </row>
    <row r="647" spans="1:19" hidden="1" x14ac:dyDescent="0.25">
      <c r="A647" s="28">
        <v>3610014</v>
      </c>
      <c r="B647" s="15" t="s">
        <v>2651</v>
      </c>
      <c r="C647" s="19" t="s">
        <v>12</v>
      </c>
      <c r="D647" s="21" t="s">
        <v>13</v>
      </c>
      <c r="E647" s="19" t="s">
        <v>390</v>
      </c>
      <c r="F647" s="19" t="s">
        <v>415</v>
      </c>
      <c r="G647" s="19" t="s">
        <v>357</v>
      </c>
      <c r="H647" s="19" t="s">
        <v>329</v>
      </c>
      <c r="I647" s="19"/>
      <c r="J647" s="19" t="s">
        <v>18</v>
      </c>
      <c r="K647" s="19" t="s">
        <v>18</v>
      </c>
      <c r="L647" s="19" t="s">
        <v>19</v>
      </c>
      <c r="M647" s="19" t="s">
        <v>19</v>
      </c>
      <c r="N647" s="19" t="s">
        <v>18</v>
      </c>
      <c r="O647" s="19" t="s">
        <v>19</v>
      </c>
      <c r="P647" s="19">
        <v>101.04125000000001</v>
      </c>
      <c r="Q647" s="19">
        <v>3.6212499999999999</v>
      </c>
      <c r="R647" s="19"/>
      <c r="S647" s="19" t="s">
        <v>41</v>
      </c>
    </row>
    <row r="648" spans="1:19" hidden="1" x14ac:dyDescent="0.25">
      <c r="A648" s="28">
        <v>3612001</v>
      </c>
      <c r="B648" s="15" t="s">
        <v>416</v>
      </c>
      <c r="C648" s="19" t="s">
        <v>12</v>
      </c>
      <c r="D648" s="21" t="s">
        <v>13</v>
      </c>
      <c r="E648" s="19" t="s">
        <v>390</v>
      </c>
      <c r="F648" s="19" t="s">
        <v>417</v>
      </c>
      <c r="G648" s="19" t="s">
        <v>357</v>
      </c>
      <c r="H648" s="19"/>
      <c r="I648" s="19"/>
      <c r="J648" s="19" t="s">
        <v>18</v>
      </c>
      <c r="K648" s="19" t="s">
        <v>18</v>
      </c>
      <c r="L648" s="19" t="s">
        <v>19</v>
      </c>
      <c r="M648" s="19" t="s">
        <v>19</v>
      </c>
      <c r="N648" s="19" t="s">
        <v>18</v>
      </c>
      <c r="O648" s="19" t="s">
        <v>19</v>
      </c>
      <c r="P648" s="19">
        <v>101.280833</v>
      </c>
      <c r="Q648" s="19">
        <v>3.655278</v>
      </c>
      <c r="R648" s="19"/>
      <c r="S648" s="19"/>
    </row>
    <row r="649" spans="1:19" hidden="1" x14ac:dyDescent="0.25">
      <c r="A649" s="28">
        <v>3613004</v>
      </c>
      <c r="B649" s="15" t="s">
        <v>418</v>
      </c>
      <c r="C649" s="19" t="s">
        <v>12</v>
      </c>
      <c r="D649" s="21" t="s">
        <v>13</v>
      </c>
      <c r="E649" s="19" t="s">
        <v>275</v>
      </c>
      <c r="F649" s="19" t="s">
        <v>417</v>
      </c>
      <c r="G649" s="19" t="s">
        <v>357</v>
      </c>
      <c r="H649" s="19" t="s">
        <v>242</v>
      </c>
      <c r="I649" s="19"/>
      <c r="J649" s="19" t="s">
        <v>18</v>
      </c>
      <c r="K649" s="19" t="s">
        <v>18</v>
      </c>
      <c r="L649" s="19" t="s">
        <v>19</v>
      </c>
      <c r="M649" s="19" t="s">
        <v>19</v>
      </c>
      <c r="N649" s="19" t="s">
        <v>18</v>
      </c>
      <c r="O649" s="19" t="s">
        <v>19</v>
      </c>
      <c r="P649" s="19">
        <v>101.35</v>
      </c>
      <c r="Q649" s="19">
        <v>3.6980559999999998</v>
      </c>
      <c r="R649" s="19"/>
      <c r="S649" s="19" t="s">
        <v>41</v>
      </c>
    </row>
    <row r="650" spans="1:19" hidden="1" x14ac:dyDescent="0.25">
      <c r="A650" s="28">
        <v>3613005</v>
      </c>
      <c r="B650" s="15" t="s">
        <v>419</v>
      </c>
      <c r="C650" s="19" t="s">
        <v>12</v>
      </c>
      <c r="D650" s="21" t="s">
        <v>13</v>
      </c>
      <c r="E650" s="19" t="s">
        <v>275</v>
      </c>
      <c r="F650" s="19"/>
      <c r="G650" s="19" t="s">
        <v>357</v>
      </c>
      <c r="H650" s="19" t="s">
        <v>420</v>
      </c>
      <c r="I650" s="19" t="s">
        <v>293</v>
      </c>
      <c r="J650" s="19" t="s">
        <v>19</v>
      </c>
      <c r="K650" s="19" t="s">
        <v>19</v>
      </c>
      <c r="L650" s="19" t="s">
        <v>18</v>
      </c>
      <c r="M650" s="19" t="s">
        <v>19</v>
      </c>
      <c r="N650" s="19" t="s">
        <v>19</v>
      </c>
      <c r="O650" s="19" t="s">
        <v>19</v>
      </c>
      <c r="P650" s="19">
        <v>101.38888900000001</v>
      </c>
      <c r="Q650" s="19">
        <v>3.6805560000000002</v>
      </c>
      <c r="R650" s="19"/>
      <c r="S650" s="19" t="s">
        <v>421</v>
      </c>
    </row>
    <row r="651" spans="1:19" hidden="1" x14ac:dyDescent="0.25">
      <c r="A651" s="28">
        <v>3613006</v>
      </c>
      <c r="B651" s="15" t="s">
        <v>422</v>
      </c>
      <c r="C651" s="19" t="s">
        <v>12</v>
      </c>
      <c r="D651" s="21" t="s">
        <v>13</v>
      </c>
      <c r="E651" s="19" t="s">
        <v>275</v>
      </c>
      <c r="F651" s="19"/>
      <c r="G651" s="19" t="s">
        <v>357</v>
      </c>
      <c r="H651" s="19"/>
      <c r="I651" s="19"/>
      <c r="J651" s="19" t="s">
        <v>18</v>
      </c>
      <c r="K651" s="19" t="s">
        <v>18</v>
      </c>
      <c r="L651" s="19" t="s">
        <v>19</v>
      </c>
      <c r="M651" s="19" t="s">
        <v>19</v>
      </c>
      <c r="N651" s="19" t="s">
        <v>18</v>
      </c>
      <c r="O651" s="19" t="s">
        <v>19</v>
      </c>
      <c r="P651" s="19">
        <v>101.386667</v>
      </c>
      <c r="Q651" s="19">
        <v>3.6891669999999999</v>
      </c>
      <c r="R651" s="19"/>
      <c r="S651" s="19"/>
    </row>
    <row r="652" spans="1:19" hidden="1" x14ac:dyDescent="0.25">
      <c r="A652" s="28">
        <v>3615001</v>
      </c>
      <c r="B652" s="15" t="s">
        <v>423</v>
      </c>
      <c r="C652" s="19" t="s">
        <v>12</v>
      </c>
      <c r="D652" s="21" t="s">
        <v>13</v>
      </c>
      <c r="E652" s="19" t="s">
        <v>275</v>
      </c>
      <c r="F652" s="19"/>
      <c r="G652" s="19" t="s">
        <v>357</v>
      </c>
      <c r="H652" s="19" t="s">
        <v>145</v>
      </c>
      <c r="I652" s="19"/>
      <c r="J652" s="19" t="s">
        <v>19</v>
      </c>
      <c r="K652" s="19" t="s">
        <v>19</v>
      </c>
      <c r="L652" s="19" t="s">
        <v>18</v>
      </c>
      <c r="M652" s="19" t="s">
        <v>19</v>
      </c>
      <c r="N652" s="19" t="s">
        <v>19</v>
      </c>
      <c r="O652" s="19" t="s">
        <v>19</v>
      </c>
      <c r="P652" s="19">
        <v>101.54305600000001</v>
      </c>
      <c r="Q652" s="19">
        <v>3.670833</v>
      </c>
      <c r="R652" s="19"/>
      <c r="S652" s="19" t="s">
        <v>20</v>
      </c>
    </row>
    <row r="653" spans="1:19" hidden="1" x14ac:dyDescent="0.25">
      <c r="A653" s="28">
        <v>3615002</v>
      </c>
      <c r="B653" s="15" t="s">
        <v>424</v>
      </c>
      <c r="C653" s="19" t="s">
        <v>12</v>
      </c>
      <c r="D653" s="21" t="s">
        <v>13</v>
      </c>
      <c r="E653" s="19" t="s">
        <v>275</v>
      </c>
      <c r="F653" s="19" t="s">
        <v>425</v>
      </c>
      <c r="G653" s="19" t="s">
        <v>357</v>
      </c>
      <c r="H653" s="19"/>
      <c r="I653" s="19"/>
      <c r="J653" s="19" t="s">
        <v>18</v>
      </c>
      <c r="K653" s="19" t="s">
        <v>18</v>
      </c>
      <c r="L653" s="19" t="s">
        <v>19</v>
      </c>
      <c r="M653" s="19" t="s">
        <v>19</v>
      </c>
      <c r="N653" s="19" t="s">
        <v>18</v>
      </c>
      <c r="O653" s="19" t="s">
        <v>19</v>
      </c>
      <c r="P653" s="19">
        <v>101.556111</v>
      </c>
      <c r="Q653" s="19">
        <v>3.631389</v>
      </c>
      <c r="R653" s="19"/>
      <c r="S653" s="19" t="s">
        <v>20</v>
      </c>
    </row>
    <row r="654" spans="1:19" x14ac:dyDescent="0.25">
      <c r="A654" s="28">
        <v>3615003</v>
      </c>
      <c r="B654" s="15" t="s">
        <v>632</v>
      </c>
      <c r="C654" s="19" t="s">
        <v>12</v>
      </c>
      <c r="D654" s="21" t="s">
        <v>633</v>
      </c>
      <c r="E654" s="19" t="s">
        <v>634</v>
      </c>
      <c r="F654" s="19" t="s">
        <v>417</v>
      </c>
      <c r="G654" s="19" t="s">
        <v>417</v>
      </c>
      <c r="H654" s="19" t="s">
        <v>635</v>
      </c>
      <c r="I654" s="19"/>
      <c r="J654" s="19" t="s">
        <v>18</v>
      </c>
      <c r="K654" s="19" t="s">
        <v>18</v>
      </c>
      <c r="L654" s="19" t="s">
        <v>19</v>
      </c>
      <c r="M654" s="19" t="s">
        <v>19</v>
      </c>
      <c r="N654" s="19" t="s">
        <v>18</v>
      </c>
      <c r="O654" s="19" t="s">
        <v>19</v>
      </c>
      <c r="P654" s="19">
        <v>101.523611</v>
      </c>
      <c r="Q654" s="19">
        <v>3.6833330000000002</v>
      </c>
      <c r="R654" s="19"/>
      <c r="S654" s="19" t="s">
        <v>41</v>
      </c>
    </row>
    <row r="655" spans="1:19" hidden="1" x14ac:dyDescent="0.25">
      <c r="A655" s="28">
        <v>3615003</v>
      </c>
      <c r="B655" s="15" t="s">
        <v>426</v>
      </c>
      <c r="C655" s="19" t="s">
        <v>12</v>
      </c>
      <c r="D655" s="21" t="s">
        <v>13</v>
      </c>
      <c r="E655" s="19" t="s">
        <v>275</v>
      </c>
      <c r="F655" s="19" t="s">
        <v>305</v>
      </c>
      <c r="G655" s="19" t="s">
        <v>305</v>
      </c>
      <c r="H655" s="19"/>
      <c r="I655" s="19"/>
      <c r="J655" s="19" t="s">
        <v>19</v>
      </c>
      <c r="K655" s="19" t="s">
        <v>18</v>
      </c>
      <c r="L655" s="19" t="s">
        <v>19</v>
      </c>
      <c r="M655" s="19" t="s">
        <v>18</v>
      </c>
      <c r="N655" s="19" t="s">
        <v>19</v>
      </c>
      <c r="O655" s="19" t="s">
        <v>19</v>
      </c>
      <c r="P655" s="19">
        <v>101.520667</v>
      </c>
      <c r="Q655" s="19">
        <v>3.6779169999999999</v>
      </c>
      <c r="R655" s="19"/>
      <c r="S655" s="19"/>
    </row>
    <row r="656" spans="1:19" hidden="1" x14ac:dyDescent="0.25">
      <c r="A656" s="28">
        <v>3615003</v>
      </c>
      <c r="B656" s="15" t="s">
        <v>427</v>
      </c>
      <c r="C656" s="19" t="s">
        <v>12</v>
      </c>
      <c r="D656" s="21" t="s">
        <v>13</v>
      </c>
      <c r="E656" s="19" t="s">
        <v>275</v>
      </c>
      <c r="F656" s="19" t="s">
        <v>428</v>
      </c>
      <c r="G656" s="19" t="s">
        <v>357</v>
      </c>
      <c r="H656" s="19"/>
      <c r="I656" s="19"/>
      <c r="J656" s="19" t="s">
        <v>18</v>
      </c>
      <c r="K656" s="19" t="s">
        <v>18</v>
      </c>
      <c r="L656" s="19" t="s">
        <v>19</v>
      </c>
      <c r="M656" s="19" t="s">
        <v>19</v>
      </c>
      <c r="N656" s="19" t="s">
        <v>18</v>
      </c>
      <c r="O656" s="19" t="s">
        <v>19</v>
      </c>
      <c r="P656" s="19">
        <v>101.528611</v>
      </c>
      <c r="Q656" s="19">
        <v>3.6794440000000002</v>
      </c>
      <c r="R656" s="19"/>
      <c r="S656" s="19"/>
    </row>
    <row r="657" spans="1:19" x14ac:dyDescent="0.25">
      <c r="A657" s="28">
        <v>3615151</v>
      </c>
      <c r="B657" s="15" t="s">
        <v>636</v>
      </c>
      <c r="C657" s="19" t="s">
        <v>12</v>
      </c>
      <c r="D657" s="21" t="s">
        <v>633</v>
      </c>
      <c r="E657" s="19" t="s">
        <v>634</v>
      </c>
      <c r="F657" s="19" t="s">
        <v>417</v>
      </c>
      <c r="G657" s="19" t="s">
        <v>417</v>
      </c>
      <c r="H657" s="19" t="s">
        <v>637</v>
      </c>
      <c r="I657" s="19" t="s">
        <v>638</v>
      </c>
      <c r="J657" s="19" t="s">
        <v>19</v>
      </c>
      <c r="K657" s="19" t="s">
        <v>19</v>
      </c>
      <c r="L657" s="19" t="s">
        <v>18</v>
      </c>
      <c r="M657" s="19" t="s">
        <v>19</v>
      </c>
      <c r="N657" s="19" t="s">
        <v>19</v>
      </c>
      <c r="O657" s="19" t="s">
        <v>19</v>
      </c>
      <c r="P657" s="19">
        <v>101.54305600000001</v>
      </c>
      <c r="Q657" s="19">
        <v>3.6722220000000001</v>
      </c>
      <c r="R657" s="19"/>
      <c r="S657" s="19" t="s">
        <v>279</v>
      </c>
    </row>
    <row r="658" spans="1:19" hidden="1" x14ac:dyDescent="0.25">
      <c r="A658" s="28">
        <v>3618123</v>
      </c>
      <c r="B658" s="15" t="s">
        <v>1568</v>
      </c>
      <c r="C658" s="19" t="s">
        <v>12</v>
      </c>
      <c r="D658" s="21" t="s">
        <v>1363</v>
      </c>
      <c r="E658" s="19" t="s">
        <v>1552</v>
      </c>
      <c r="F658" s="19" t="s">
        <v>1569</v>
      </c>
      <c r="G658" s="19" t="s">
        <v>1570</v>
      </c>
      <c r="H658" s="19" t="s">
        <v>1501</v>
      </c>
      <c r="I658" s="19" t="s">
        <v>1571</v>
      </c>
      <c r="J658" s="19" t="s">
        <v>19</v>
      </c>
      <c r="K658" s="19" t="s">
        <v>19</v>
      </c>
      <c r="L658" s="19" t="s">
        <v>18</v>
      </c>
      <c r="M658" s="19" t="s">
        <v>19</v>
      </c>
      <c r="N658" s="19" t="s">
        <v>19</v>
      </c>
      <c r="O658" s="19" t="s">
        <v>19</v>
      </c>
      <c r="P658" s="19">
        <v>101.85</v>
      </c>
      <c r="Q658" s="19">
        <v>3.6541670000000002</v>
      </c>
      <c r="R658" s="19"/>
      <c r="S658" s="19" t="s">
        <v>41</v>
      </c>
    </row>
    <row r="659" spans="1:19" hidden="1" x14ac:dyDescent="0.25">
      <c r="A659" s="28">
        <v>3623078</v>
      </c>
      <c r="B659" s="15" t="s">
        <v>1572</v>
      </c>
      <c r="C659" s="19" t="s">
        <v>12</v>
      </c>
      <c r="D659" s="21" t="s">
        <v>1363</v>
      </c>
      <c r="E659" s="19" t="s">
        <v>1573</v>
      </c>
      <c r="F659" s="19" t="s">
        <v>1574</v>
      </c>
      <c r="G659" s="19" t="s">
        <v>1363</v>
      </c>
      <c r="H659" s="19" t="s">
        <v>837</v>
      </c>
      <c r="I659" s="19"/>
      <c r="J659" s="19" t="s">
        <v>18</v>
      </c>
      <c r="K659" s="19" t="s">
        <v>18</v>
      </c>
      <c r="L659" s="19" t="s">
        <v>18</v>
      </c>
      <c r="M659" s="19" t="s">
        <v>19</v>
      </c>
      <c r="N659" s="19" t="s">
        <v>19</v>
      </c>
      <c r="O659" s="19" t="s">
        <v>19</v>
      </c>
      <c r="P659" s="19">
        <v>102.36666700000001</v>
      </c>
      <c r="Q659" s="19">
        <v>3.6555559999999998</v>
      </c>
      <c r="R659" s="19"/>
      <c r="S659" s="19" t="s">
        <v>20</v>
      </c>
    </row>
    <row r="660" spans="1:19" hidden="1" x14ac:dyDescent="0.25">
      <c r="A660" s="28">
        <v>3626090</v>
      </c>
      <c r="B660" s="15" t="s">
        <v>1575</v>
      </c>
      <c r="C660" s="19" t="s">
        <v>12</v>
      </c>
      <c r="D660" s="21" t="s">
        <v>1363</v>
      </c>
      <c r="E660" s="19" t="s">
        <v>1486</v>
      </c>
      <c r="F660" s="19" t="s">
        <v>1564</v>
      </c>
      <c r="G660" s="19" t="s">
        <v>1363</v>
      </c>
      <c r="H660" s="19" t="s">
        <v>1537</v>
      </c>
      <c r="I660" s="19"/>
      <c r="J660" s="19" t="s">
        <v>18</v>
      </c>
      <c r="K660" s="19" t="s">
        <v>18</v>
      </c>
      <c r="L660" s="19" t="s">
        <v>18</v>
      </c>
      <c r="M660" s="19" t="s">
        <v>19</v>
      </c>
      <c r="N660" s="19" t="s">
        <v>19</v>
      </c>
      <c r="O660" s="19" t="s">
        <v>19</v>
      </c>
      <c r="P660" s="19">
        <v>102.693056</v>
      </c>
      <c r="Q660" s="19">
        <v>3.6555559999999998</v>
      </c>
      <c r="R660" s="19"/>
      <c r="S660" s="19" t="s">
        <v>472</v>
      </c>
    </row>
    <row r="661" spans="1:19" hidden="1" x14ac:dyDescent="0.25">
      <c r="A661" s="28">
        <v>3628001</v>
      </c>
      <c r="B661" s="15" t="s">
        <v>1576</v>
      </c>
      <c r="C661" s="19" t="s">
        <v>12</v>
      </c>
      <c r="D661" s="21" t="s">
        <v>1363</v>
      </c>
      <c r="E661" s="19" t="s">
        <v>1486</v>
      </c>
      <c r="F661" s="19" t="s">
        <v>1577</v>
      </c>
      <c r="G661" s="19" t="s">
        <v>1363</v>
      </c>
      <c r="H661" s="19" t="s">
        <v>1578</v>
      </c>
      <c r="I661" s="19"/>
      <c r="J661" s="19" t="s">
        <v>18</v>
      </c>
      <c r="K661" s="19" t="s">
        <v>18</v>
      </c>
      <c r="L661" s="19" t="s">
        <v>19</v>
      </c>
      <c r="M661" s="19" t="s">
        <v>19</v>
      </c>
      <c r="N661" s="19" t="s">
        <v>18</v>
      </c>
      <c r="O661" s="19" t="s">
        <v>19</v>
      </c>
      <c r="P661" s="19">
        <v>102.85555600000001</v>
      </c>
      <c r="Q661" s="19">
        <v>3.6333329999999999</v>
      </c>
      <c r="R661" s="19"/>
      <c r="S661" s="19" t="s">
        <v>41</v>
      </c>
    </row>
    <row r="662" spans="1:19" hidden="1" x14ac:dyDescent="0.25">
      <c r="A662" s="28">
        <v>3628093</v>
      </c>
      <c r="B662" s="15" t="s">
        <v>1579</v>
      </c>
      <c r="C662" s="19" t="s">
        <v>12</v>
      </c>
      <c r="D662" s="21" t="s">
        <v>1363</v>
      </c>
      <c r="E662" s="19" t="s">
        <v>1533</v>
      </c>
      <c r="F662" s="19" t="s">
        <v>1580</v>
      </c>
      <c r="G662" s="19" t="s">
        <v>1363</v>
      </c>
      <c r="H662" s="19" t="s">
        <v>1085</v>
      </c>
      <c r="I662" s="19" t="s">
        <v>1581</v>
      </c>
      <c r="J662" s="19" t="s">
        <v>19</v>
      </c>
      <c r="K662" s="19" t="s">
        <v>19</v>
      </c>
      <c r="L662" s="19" t="s">
        <v>18</v>
      </c>
      <c r="M662" s="19" t="s">
        <v>19</v>
      </c>
      <c r="N662" s="19" t="s">
        <v>19</v>
      </c>
      <c r="O662" s="19" t="s">
        <v>19</v>
      </c>
      <c r="P662" s="19">
        <v>102.86666700000001</v>
      </c>
      <c r="Q662" s="19">
        <v>3.6597219999999999</v>
      </c>
      <c r="R662" s="19"/>
      <c r="S662" s="19" t="s">
        <v>164</v>
      </c>
    </row>
    <row r="663" spans="1:19" hidden="1" x14ac:dyDescent="0.25">
      <c r="A663" s="28">
        <v>3628095</v>
      </c>
      <c r="B663" s="15" t="s">
        <v>1582</v>
      </c>
      <c r="C663" s="19" t="s">
        <v>12</v>
      </c>
      <c r="D663" s="21" t="s">
        <v>1363</v>
      </c>
      <c r="E663" s="19" t="s">
        <v>1442</v>
      </c>
      <c r="F663" s="19" t="s">
        <v>1577</v>
      </c>
      <c r="G663" s="19" t="s">
        <v>1363</v>
      </c>
      <c r="H663" s="19" t="s">
        <v>671</v>
      </c>
      <c r="I663" s="19" t="s">
        <v>1583</v>
      </c>
      <c r="J663" s="19" t="s">
        <v>19</v>
      </c>
      <c r="K663" s="19" t="s">
        <v>19</v>
      </c>
      <c r="L663" s="19" t="s">
        <v>18</v>
      </c>
      <c r="M663" s="19" t="s">
        <v>19</v>
      </c>
      <c r="N663" s="19" t="s">
        <v>19</v>
      </c>
      <c r="O663" s="19" t="s">
        <v>19</v>
      </c>
      <c r="P663" s="19">
        <v>102.844444</v>
      </c>
      <c r="Q663" s="19">
        <v>3.6305559999999999</v>
      </c>
      <c r="R663" s="19"/>
      <c r="S663" s="19" t="s">
        <v>41</v>
      </c>
    </row>
    <row r="664" spans="1:19" hidden="1" x14ac:dyDescent="0.25">
      <c r="A664" s="28">
        <v>3629098</v>
      </c>
      <c r="B664" s="15" t="s">
        <v>1584</v>
      </c>
      <c r="C664" s="19" t="s">
        <v>12</v>
      </c>
      <c r="D664" s="21" t="s">
        <v>1363</v>
      </c>
      <c r="E664" s="19" t="s">
        <v>1585</v>
      </c>
      <c r="F664" s="19" t="s">
        <v>1586</v>
      </c>
      <c r="G664" s="19" t="s">
        <v>1363</v>
      </c>
      <c r="H664" s="19" t="s">
        <v>1587</v>
      </c>
      <c r="I664" s="19"/>
      <c r="J664" s="19" t="s">
        <v>18</v>
      </c>
      <c r="K664" s="19" t="s">
        <v>18</v>
      </c>
      <c r="L664" s="19" t="s">
        <v>18</v>
      </c>
      <c r="M664" s="19" t="s">
        <v>19</v>
      </c>
      <c r="N664" s="19" t="s">
        <v>18</v>
      </c>
      <c r="O664" s="19" t="s">
        <v>19</v>
      </c>
      <c r="P664" s="19">
        <v>102.933333</v>
      </c>
      <c r="Q664" s="19">
        <v>3.6916669999999998</v>
      </c>
      <c r="R664" s="19"/>
      <c r="S664" s="19" t="s">
        <v>41</v>
      </c>
    </row>
    <row r="665" spans="1:19" hidden="1" x14ac:dyDescent="0.25">
      <c r="A665" s="28">
        <v>3631001</v>
      </c>
      <c r="B665" s="15" t="s">
        <v>1588</v>
      </c>
      <c r="C665" s="19" t="s">
        <v>12</v>
      </c>
      <c r="D665" s="21" t="s">
        <v>1363</v>
      </c>
      <c r="E665" s="19" t="s">
        <v>1585</v>
      </c>
      <c r="F665" s="19" t="s">
        <v>1589</v>
      </c>
      <c r="G665" s="19" t="s">
        <v>1585</v>
      </c>
      <c r="H665" s="19" t="s">
        <v>1590</v>
      </c>
      <c r="I665" s="19"/>
      <c r="J665" s="19" t="s">
        <v>18</v>
      </c>
      <c r="K665" s="19" t="s">
        <v>18</v>
      </c>
      <c r="L665" s="19" t="s">
        <v>18</v>
      </c>
      <c r="M665" s="19" t="s">
        <v>19</v>
      </c>
      <c r="N665" s="19" t="s">
        <v>18</v>
      </c>
      <c r="O665" s="19" t="s">
        <v>19</v>
      </c>
      <c r="P665" s="19">
        <v>103.119444</v>
      </c>
      <c r="Q665" s="19">
        <v>3.6527780000000001</v>
      </c>
      <c r="R665" s="19"/>
      <c r="S665" s="19" t="s">
        <v>41</v>
      </c>
    </row>
    <row r="666" spans="1:19" hidden="1" x14ac:dyDescent="0.25">
      <c r="A666" s="28">
        <v>3631100</v>
      </c>
      <c r="B666" s="15" t="s">
        <v>1591</v>
      </c>
      <c r="C666" s="19" t="s">
        <v>12</v>
      </c>
      <c r="D666" s="21" t="s">
        <v>1363</v>
      </c>
      <c r="E666" s="19" t="s">
        <v>1585</v>
      </c>
      <c r="F666" s="19" t="s">
        <v>1589</v>
      </c>
      <c r="G666" s="19" t="s">
        <v>1585</v>
      </c>
      <c r="H666" s="19" t="s">
        <v>1504</v>
      </c>
      <c r="I666" s="19" t="s">
        <v>769</v>
      </c>
      <c r="J666" s="19" t="s">
        <v>19</v>
      </c>
      <c r="K666" s="19" t="s">
        <v>19</v>
      </c>
      <c r="L666" s="19" t="s">
        <v>18</v>
      </c>
      <c r="M666" s="19" t="s">
        <v>19</v>
      </c>
      <c r="N666" s="19" t="s">
        <v>19</v>
      </c>
      <c r="O666" s="19" t="s">
        <v>19</v>
      </c>
      <c r="P666" s="19">
        <v>103.120833</v>
      </c>
      <c r="Q666" s="19">
        <v>3.6583329999999998</v>
      </c>
      <c r="R666" s="19"/>
      <c r="S666" s="19" t="s">
        <v>20</v>
      </c>
    </row>
    <row r="667" spans="1:19" hidden="1" x14ac:dyDescent="0.25">
      <c r="A667" s="28">
        <v>3633104</v>
      </c>
      <c r="B667" s="15" t="s">
        <v>1592</v>
      </c>
      <c r="C667" s="19" t="s">
        <v>12</v>
      </c>
      <c r="D667" s="21" t="s">
        <v>1363</v>
      </c>
      <c r="E667" s="19" t="s">
        <v>1585</v>
      </c>
      <c r="F667" s="19" t="s">
        <v>1593</v>
      </c>
      <c r="G667" s="19" t="s">
        <v>1594</v>
      </c>
      <c r="H667" s="19" t="s">
        <v>1504</v>
      </c>
      <c r="I667" s="19"/>
      <c r="J667" s="19" t="s">
        <v>18</v>
      </c>
      <c r="K667" s="19" t="s">
        <v>18</v>
      </c>
      <c r="L667" s="19" t="s">
        <v>18</v>
      </c>
      <c r="M667" s="19" t="s">
        <v>19</v>
      </c>
      <c r="N667" s="19" t="s">
        <v>18</v>
      </c>
      <c r="O667" s="19" t="s">
        <v>19</v>
      </c>
      <c r="P667" s="19">
        <v>103.31527800000001</v>
      </c>
      <c r="Q667" s="19">
        <v>3.6305559999999999</v>
      </c>
      <c r="R667" s="19"/>
      <c r="S667" s="19" t="s">
        <v>41</v>
      </c>
    </row>
    <row r="668" spans="1:19" hidden="1" x14ac:dyDescent="0.25">
      <c r="A668" s="28">
        <v>3708001</v>
      </c>
      <c r="B668" s="15" t="s">
        <v>429</v>
      </c>
      <c r="C668" s="19" t="s">
        <v>12</v>
      </c>
      <c r="D668" s="21" t="s">
        <v>13</v>
      </c>
      <c r="E668" s="19" t="s">
        <v>390</v>
      </c>
      <c r="F668" s="19" t="s">
        <v>417</v>
      </c>
      <c r="G668" s="19" t="s">
        <v>357</v>
      </c>
      <c r="H668" s="19"/>
      <c r="I668" s="19"/>
      <c r="J668" s="19" t="s">
        <v>18</v>
      </c>
      <c r="K668" s="19" t="s">
        <v>18</v>
      </c>
      <c r="L668" s="19" t="s">
        <v>19</v>
      </c>
      <c r="M668" s="19" t="s">
        <v>19</v>
      </c>
      <c r="N668" s="19" t="s">
        <v>18</v>
      </c>
      <c r="O668" s="19" t="s">
        <v>19</v>
      </c>
      <c r="P668" s="19">
        <v>100.881306</v>
      </c>
      <c r="Q668" s="19">
        <v>3.7749999999999999</v>
      </c>
      <c r="R668" s="19"/>
      <c r="S668" s="19"/>
    </row>
    <row r="669" spans="1:19" hidden="1" x14ac:dyDescent="0.25">
      <c r="A669" s="28">
        <v>3709008</v>
      </c>
      <c r="B669" s="15" t="s">
        <v>430</v>
      </c>
      <c r="C669" s="19" t="s">
        <v>12</v>
      </c>
      <c r="D669" s="21" t="s">
        <v>13</v>
      </c>
      <c r="E669" s="19" t="s">
        <v>390</v>
      </c>
      <c r="F669" s="19"/>
      <c r="G669" s="19" t="s">
        <v>357</v>
      </c>
      <c r="H669" s="19" t="s">
        <v>411</v>
      </c>
      <c r="I669" s="19" t="s">
        <v>431</v>
      </c>
      <c r="J669" s="19" t="s">
        <v>19</v>
      </c>
      <c r="K669" s="19" t="s">
        <v>19</v>
      </c>
      <c r="L669" s="19" t="s">
        <v>18</v>
      </c>
      <c r="M669" s="19" t="s">
        <v>19</v>
      </c>
      <c r="N669" s="19" t="s">
        <v>19</v>
      </c>
      <c r="O669" s="19" t="s">
        <v>19</v>
      </c>
      <c r="P669" s="19">
        <v>100.94583299999999</v>
      </c>
      <c r="Q669" s="19">
        <v>3.8</v>
      </c>
      <c r="R669" s="19"/>
      <c r="S669" s="19" t="s">
        <v>20</v>
      </c>
    </row>
    <row r="670" spans="1:19" hidden="1" x14ac:dyDescent="0.25">
      <c r="A670" s="28">
        <v>3709009</v>
      </c>
      <c r="B670" s="15" t="s">
        <v>432</v>
      </c>
      <c r="C670" s="19" t="s">
        <v>12</v>
      </c>
      <c r="D670" s="21" t="s">
        <v>13</v>
      </c>
      <c r="E670" s="19" t="s">
        <v>390</v>
      </c>
      <c r="F670" s="19" t="s">
        <v>417</v>
      </c>
      <c r="G670" s="19" t="s">
        <v>357</v>
      </c>
      <c r="H670" s="19"/>
      <c r="I670" s="19"/>
      <c r="J670" s="19" t="s">
        <v>18</v>
      </c>
      <c r="K670" s="19" t="s">
        <v>18</v>
      </c>
      <c r="L670" s="19" t="s">
        <v>19</v>
      </c>
      <c r="M670" s="19" t="s">
        <v>19</v>
      </c>
      <c r="N670" s="19" t="s">
        <v>18</v>
      </c>
      <c r="O670" s="19" t="s">
        <v>19</v>
      </c>
      <c r="P670" s="19">
        <v>100.988083</v>
      </c>
      <c r="Q670" s="19">
        <v>3.7749999999999999</v>
      </c>
      <c r="R670" s="19"/>
      <c r="S670" s="19"/>
    </row>
    <row r="671" spans="1:19" hidden="1" x14ac:dyDescent="0.25">
      <c r="A671" s="28">
        <v>3710006</v>
      </c>
      <c r="B671" s="15" t="s">
        <v>433</v>
      </c>
      <c r="C671" s="19" t="s">
        <v>12</v>
      </c>
      <c r="D671" s="21" t="s">
        <v>13</v>
      </c>
      <c r="E671" s="19" t="s">
        <v>390</v>
      </c>
      <c r="F671" s="19" t="s">
        <v>417</v>
      </c>
      <c r="G671" s="19" t="s">
        <v>357</v>
      </c>
      <c r="H671" s="19" t="s">
        <v>434</v>
      </c>
      <c r="I671" s="19"/>
      <c r="J671" s="19" t="s">
        <v>18</v>
      </c>
      <c r="K671" s="19" t="s">
        <v>18</v>
      </c>
      <c r="L671" s="19" t="s">
        <v>19</v>
      </c>
      <c r="M671" s="19" t="s">
        <v>19</v>
      </c>
      <c r="N671" s="19" t="s">
        <v>18</v>
      </c>
      <c r="O671" s="19" t="s">
        <v>19</v>
      </c>
      <c r="P671" s="19">
        <v>101.083139</v>
      </c>
      <c r="Q671" s="19">
        <v>3.7286109999999999</v>
      </c>
      <c r="R671" s="19"/>
      <c r="S671" s="19" t="s">
        <v>41</v>
      </c>
    </row>
    <row r="672" spans="1:19" hidden="1" x14ac:dyDescent="0.25">
      <c r="A672" s="28">
        <v>3710011</v>
      </c>
      <c r="B672" s="15" t="s">
        <v>435</v>
      </c>
      <c r="C672" s="19" t="s">
        <v>12</v>
      </c>
      <c r="D672" s="21" t="s">
        <v>13</v>
      </c>
      <c r="E672" s="19" t="s">
        <v>390</v>
      </c>
      <c r="F672" s="19" t="s">
        <v>407</v>
      </c>
      <c r="G672" s="19" t="s">
        <v>357</v>
      </c>
      <c r="H672" s="19" t="s">
        <v>436</v>
      </c>
      <c r="I672" s="19"/>
      <c r="J672" s="19" t="s">
        <v>18</v>
      </c>
      <c r="K672" s="19" t="s">
        <v>18</v>
      </c>
      <c r="L672" s="19" t="s">
        <v>19</v>
      </c>
      <c r="M672" s="19" t="s">
        <v>19</v>
      </c>
      <c r="N672" s="19" t="s">
        <v>18</v>
      </c>
      <c r="O672" s="19" t="s">
        <v>19</v>
      </c>
      <c r="P672" s="19">
        <v>101.014444</v>
      </c>
      <c r="Q672" s="19">
        <v>3.7083330000000001</v>
      </c>
      <c r="R672" s="19"/>
      <c r="S672" s="19" t="s">
        <v>41</v>
      </c>
    </row>
    <row r="673" spans="1:19" hidden="1" x14ac:dyDescent="0.25">
      <c r="A673" s="28">
        <v>3711001</v>
      </c>
      <c r="B673" s="15" t="s">
        <v>437</v>
      </c>
      <c r="C673" s="19" t="s">
        <v>12</v>
      </c>
      <c r="D673" s="21" t="s">
        <v>13</v>
      </c>
      <c r="E673" s="19" t="s">
        <v>390</v>
      </c>
      <c r="F673" s="19" t="s">
        <v>417</v>
      </c>
      <c r="G673" s="19" t="s">
        <v>357</v>
      </c>
      <c r="H673" s="19"/>
      <c r="I673" s="19"/>
      <c r="J673" s="19" t="s">
        <v>18</v>
      </c>
      <c r="K673" s="19" t="s">
        <v>18</v>
      </c>
      <c r="L673" s="19" t="s">
        <v>19</v>
      </c>
      <c r="M673" s="19" t="s">
        <v>19</v>
      </c>
      <c r="N673" s="19" t="s">
        <v>18</v>
      </c>
      <c r="O673" s="19" t="s">
        <v>19</v>
      </c>
      <c r="P673" s="19">
        <v>101.18086099999999</v>
      </c>
      <c r="Q673" s="19">
        <v>3.7102780000000002</v>
      </c>
      <c r="R673" s="19"/>
      <c r="S673" s="19"/>
    </row>
    <row r="674" spans="1:19" x14ac:dyDescent="0.25">
      <c r="A674" s="28">
        <v>3711160</v>
      </c>
      <c r="B674" s="15" t="s">
        <v>639</v>
      </c>
      <c r="C674" s="19" t="s">
        <v>12</v>
      </c>
      <c r="D674" s="21" t="s">
        <v>633</v>
      </c>
      <c r="E674" s="19" t="s">
        <v>634</v>
      </c>
      <c r="F674" s="19" t="s">
        <v>417</v>
      </c>
      <c r="G674" s="19" t="s">
        <v>417</v>
      </c>
      <c r="H674" s="19" t="s">
        <v>640</v>
      </c>
      <c r="I674" s="19"/>
      <c r="J674" s="19" t="s">
        <v>19</v>
      </c>
      <c r="K674" s="19" t="s">
        <v>19</v>
      </c>
      <c r="L674" s="19" t="s">
        <v>18</v>
      </c>
      <c r="M674" s="19" t="s">
        <v>19</v>
      </c>
      <c r="N674" s="19" t="s">
        <v>19</v>
      </c>
      <c r="O674" s="19" t="s">
        <v>19</v>
      </c>
      <c r="P674" s="19">
        <v>101.147222</v>
      </c>
      <c r="Q674" s="19">
        <v>3.7458330000000002</v>
      </c>
      <c r="R674" s="19"/>
      <c r="S674" s="19" t="s">
        <v>20</v>
      </c>
    </row>
    <row r="675" spans="1:19" hidden="1" x14ac:dyDescent="0.25">
      <c r="A675" s="28">
        <v>3713003</v>
      </c>
      <c r="B675" s="15" t="s">
        <v>438</v>
      </c>
      <c r="C675" s="19" t="s">
        <v>12</v>
      </c>
      <c r="D675" s="21" t="s">
        <v>13</v>
      </c>
      <c r="E675" s="19" t="s">
        <v>275</v>
      </c>
      <c r="F675" s="19"/>
      <c r="G675" s="19" t="s">
        <v>357</v>
      </c>
      <c r="H675" s="19" t="s">
        <v>336</v>
      </c>
      <c r="I675" s="19" t="s">
        <v>293</v>
      </c>
      <c r="J675" s="19" t="s">
        <v>19</v>
      </c>
      <c r="K675" s="19" t="s">
        <v>19</v>
      </c>
      <c r="L675" s="19" t="s">
        <v>18</v>
      </c>
      <c r="M675" s="19" t="s">
        <v>19</v>
      </c>
      <c r="N675" s="19" t="s">
        <v>19</v>
      </c>
      <c r="O675" s="19" t="s">
        <v>19</v>
      </c>
      <c r="P675" s="19">
        <v>101.384722</v>
      </c>
      <c r="Q675" s="19">
        <v>3.7374999999999998</v>
      </c>
      <c r="R675" s="19"/>
      <c r="S675" s="19" t="s">
        <v>421</v>
      </c>
    </row>
    <row r="676" spans="1:19" hidden="1" x14ac:dyDescent="0.25">
      <c r="A676" s="28">
        <v>3713004</v>
      </c>
      <c r="B676" s="15" t="s">
        <v>439</v>
      </c>
      <c r="C676" s="19" t="s">
        <v>12</v>
      </c>
      <c r="D676" s="21" t="s">
        <v>13</v>
      </c>
      <c r="E676" s="19" t="s">
        <v>275</v>
      </c>
      <c r="F676" s="19" t="s">
        <v>440</v>
      </c>
      <c r="G676" s="19" t="s">
        <v>357</v>
      </c>
      <c r="H676" s="19"/>
      <c r="I676" s="19"/>
      <c r="J676" s="19" t="s">
        <v>18</v>
      </c>
      <c r="K676" s="19" t="s">
        <v>18</v>
      </c>
      <c r="L676" s="19" t="s">
        <v>19</v>
      </c>
      <c r="M676" s="19" t="s">
        <v>19</v>
      </c>
      <c r="N676" s="19" t="s">
        <v>18</v>
      </c>
      <c r="O676" s="19" t="s">
        <v>19</v>
      </c>
      <c r="P676" s="19">
        <v>101.38416700000001</v>
      </c>
      <c r="Q676" s="19">
        <v>3.740278</v>
      </c>
      <c r="R676" s="19"/>
      <c r="S676" s="19"/>
    </row>
    <row r="677" spans="1:19" x14ac:dyDescent="0.25">
      <c r="A677" s="28">
        <v>3714152</v>
      </c>
      <c r="B677" s="15" t="s">
        <v>641</v>
      </c>
      <c r="C677" s="19" t="s">
        <v>12</v>
      </c>
      <c r="D677" s="21" t="s">
        <v>633</v>
      </c>
      <c r="E677" s="19" t="s">
        <v>634</v>
      </c>
      <c r="F677" s="19" t="s">
        <v>642</v>
      </c>
      <c r="G677" s="19" t="s">
        <v>417</v>
      </c>
      <c r="H677" s="19" t="s">
        <v>393</v>
      </c>
      <c r="I677" s="19"/>
      <c r="J677" s="19" t="s">
        <v>18</v>
      </c>
      <c r="K677" s="19" t="s">
        <v>18</v>
      </c>
      <c r="L677" s="19" t="s">
        <v>18</v>
      </c>
      <c r="M677" s="19" t="s">
        <v>19</v>
      </c>
      <c r="N677" s="19" t="s">
        <v>18</v>
      </c>
      <c r="O677" s="19" t="s">
        <v>19</v>
      </c>
      <c r="P677" s="19">
        <v>101.488889</v>
      </c>
      <c r="Q677" s="19">
        <v>3.7194440000000002</v>
      </c>
      <c r="R677" s="19"/>
      <c r="S677" s="19" t="s">
        <v>20</v>
      </c>
    </row>
    <row r="678" spans="1:19" x14ac:dyDescent="0.25">
      <c r="A678" s="28">
        <v>3714153</v>
      </c>
      <c r="B678" s="15" t="s">
        <v>643</v>
      </c>
      <c r="C678" s="19" t="s">
        <v>12</v>
      </c>
      <c r="D678" s="21" t="s">
        <v>633</v>
      </c>
      <c r="E678" s="19" t="s">
        <v>634</v>
      </c>
      <c r="F678" s="19" t="s">
        <v>644</v>
      </c>
      <c r="G678" s="19" t="s">
        <v>417</v>
      </c>
      <c r="H678" s="19" t="s">
        <v>645</v>
      </c>
      <c r="I678" s="19"/>
      <c r="J678" s="19" t="s">
        <v>19</v>
      </c>
      <c r="K678" s="19" t="s">
        <v>19</v>
      </c>
      <c r="L678" s="19" t="s">
        <v>18</v>
      </c>
      <c r="M678" s="19" t="s">
        <v>19</v>
      </c>
      <c r="N678" s="19" t="s">
        <v>19</v>
      </c>
      <c r="O678" s="19" t="s">
        <v>19</v>
      </c>
      <c r="P678" s="19">
        <v>101.47499999999999</v>
      </c>
      <c r="Q678" s="19">
        <v>3.7541669999999998</v>
      </c>
      <c r="R678" s="19"/>
      <c r="S678" s="19" t="s">
        <v>20</v>
      </c>
    </row>
    <row r="679" spans="1:19" hidden="1" x14ac:dyDescent="0.25">
      <c r="A679" s="28">
        <v>3717001</v>
      </c>
      <c r="B679" s="15" t="s">
        <v>1595</v>
      </c>
      <c r="C679" s="19" t="s">
        <v>12</v>
      </c>
      <c r="D679" s="21" t="s">
        <v>1363</v>
      </c>
      <c r="E679" s="19" t="s">
        <v>1552</v>
      </c>
      <c r="F679" s="19" t="s">
        <v>1596</v>
      </c>
      <c r="G679" s="19" t="s">
        <v>1363</v>
      </c>
      <c r="H679" s="19" t="s">
        <v>1597</v>
      </c>
      <c r="I679" s="19"/>
      <c r="J679" s="19" t="s">
        <v>18</v>
      </c>
      <c r="K679" s="19" t="s">
        <v>18</v>
      </c>
      <c r="L679" s="19" t="s">
        <v>19</v>
      </c>
      <c r="M679" s="19" t="s">
        <v>18</v>
      </c>
      <c r="N679" s="19" t="s">
        <v>18</v>
      </c>
      <c r="O679" s="19" t="s">
        <v>19</v>
      </c>
      <c r="P679" s="19">
        <v>101.75277800000001</v>
      </c>
      <c r="Q679" s="19">
        <v>3.7180559999999998</v>
      </c>
      <c r="R679" s="19"/>
      <c r="S679" s="19" t="s">
        <v>41</v>
      </c>
    </row>
    <row r="680" spans="1:19" hidden="1" x14ac:dyDescent="0.25">
      <c r="A680" s="28">
        <v>3717051</v>
      </c>
      <c r="B680" s="15" t="s">
        <v>1598</v>
      </c>
      <c r="C680" s="19" t="s">
        <v>12</v>
      </c>
      <c r="D680" s="21" t="s">
        <v>1363</v>
      </c>
      <c r="E680" s="19" t="s">
        <v>1552</v>
      </c>
      <c r="F680" s="19" t="s">
        <v>1596</v>
      </c>
      <c r="G680" s="19" t="s">
        <v>1570</v>
      </c>
      <c r="H680" s="19" t="s">
        <v>1599</v>
      </c>
      <c r="I680" s="19" t="s">
        <v>358</v>
      </c>
      <c r="J680" s="19" t="s">
        <v>19</v>
      </c>
      <c r="K680" s="19" t="s">
        <v>19</v>
      </c>
      <c r="L680" s="19" t="s">
        <v>18</v>
      </c>
      <c r="M680" s="19" t="s">
        <v>19</v>
      </c>
      <c r="N680" s="19" t="s">
        <v>19</v>
      </c>
      <c r="O680" s="19" t="s">
        <v>19</v>
      </c>
      <c r="P680" s="19">
        <v>101.734722</v>
      </c>
      <c r="Q680" s="19">
        <v>3.713889</v>
      </c>
      <c r="R680" s="19"/>
      <c r="S680" s="19" t="s">
        <v>41</v>
      </c>
    </row>
    <row r="681" spans="1:19" hidden="1" x14ac:dyDescent="0.25">
      <c r="A681" s="28">
        <v>3717052</v>
      </c>
      <c r="B681" s="15" t="s">
        <v>1600</v>
      </c>
      <c r="C681" s="19" t="s">
        <v>12</v>
      </c>
      <c r="D681" s="21" t="s">
        <v>1363</v>
      </c>
      <c r="E681" s="19" t="s">
        <v>1552</v>
      </c>
      <c r="F681" s="19" t="s">
        <v>1596</v>
      </c>
      <c r="G681" s="19" t="s">
        <v>1570</v>
      </c>
      <c r="H681" s="19" t="s">
        <v>393</v>
      </c>
      <c r="I681" s="19"/>
      <c r="J681" s="19" t="s">
        <v>18</v>
      </c>
      <c r="K681" s="19" t="s">
        <v>18</v>
      </c>
      <c r="L681" s="19" t="s">
        <v>18</v>
      </c>
      <c r="M681" s="19" t="s">
        <v>19</v>
      </c>
      <c r="N681" s="19" t="s">
        <v>19</v>
      </c>
      <c r="O681" s="19" t="s">
        <v>19</v>
      </c>
      <c r="P681" s="19">
        <v>101.780556</v>
      </c>
      <c r="Q681" s="19">
        <v>3.776389</v>
      </c>
      <c r="R681" s="19"/>
      <c r="S681" s="19" t="s">
        <v>41</v>
      </c>
    </row>
    <row r="682" spans="1:19" hidden="1" x14ac:dyDescent="0.25">
      <c r="A682" s="28">
        <v>3717101</v>
      </c>
      <c r="B682" s="15" t="s">
        <v>441</v>
      </c>
      <c r="C682" s="19" t="s">
        <v>12</v>
      </c>
      <c r="D682" s="21" t="s">
        <v>13</v>
      </c>
      <c r="E682" s="19" t="s">
        <v>275</v>
      </c>
      <c r="F682" s="19" t="s">
        <v>305</v>
      </c>
      <c r="G682" s="19" t="s">
        <v>13</v>
      </c>
      <c r="H682" s="19"/>
      <c r="I682" s="19"/>
      <c r="J682" s="19" t="s">
        <v>18</v>
      </c>
      <c r="K682" s="19" t="s">
        <v>18</v>
      </c>
      <c r="L682" s="19" t="s">
        <v>19</v>
      </c>
      <c r="M682" s="19" t="s">
        <v>19</v>
      </c>
      <c r="N682" s="19" t="s">
        <v>18</v>
      </c>
      <c r="O682" s="19" t="s">
        <v>19</v>
      </c>
      <c r="P682" s="19">
        <v>101.738333</v>
      </c>
      <c r="Q682" s="19">
        <v>3.7119439999999999</v>
      </c>
      <c r="R682" s="19"/>
      <c r="S682" s="19"/>
    </row>
    <row r="683" spans="1:19" hidden="1" x14ac:dyDescent="0.25">
      <c r="A683" s="28">
        <v>3718122</v>
      </c>
      <c r="B683" s="15" t="s">
        <v>1601</v>
      </c>
      <c r="C683" s="19" t="s">
        <v>12</v>
      </c>
      <c r="D683" s="21" t="s">
        <v>1363</v>
      </c>
      <c r="E683" s="19" t="s">
        <v>1552</v>
      </c>
      <c r="F683" s="19" t="s">
        <v>1569</v>
      </c>
      <c r="G683" s="19" t="s">
        <v>1363</v>
      </c>
      <c r="H683" s="19" t="s">
        <v>1602</v>
      </c>
      <c r="I683" s="19"/>
      <c r="J683" s="19" t="s">
        <v>18</v>
      </c>
      <c r="K683" s="19" t="s">
        <v>18</v>
      </c>
      <c r="L683" s="19" t="s">
        <v>18</v>
      </c>
      <c r="M683" s="19" t="s">
        <v>19</v>
      </c>
      <c r="N683" s="19" t="s">
        <v>19</v>
      </c>
      <c r="O683" s="19" t="s">
        <v>19</v>
      </c>
      <c r="P683" s="19">
        <v>101.8</v>
      </c>
      <c r="Q683" s="19">
        <v>3.7291669999999999</v>
      </c>
      <c r="R683" s="19"/>
      <c r="S683" s="19" t="s">
        <v>164</v>
      </c>
    </row>
    <row r="684" spans="1:19" hidden="1" x14ac:dyDescent="0.25">
      <c r="A684" s="28">
        <v>3723077</v>
      </c>
      <c r="B684" s="15" t="s">
        <v>1603</v>
      </c>
      <c r="C684" s="19" t="s">
        <v>12</v>
      </c>
      <c r="D684" s="21" t="s">
        <v>1363</v>
      </c>
      <c r="E684" s="19" t="s">
        <v>1486</v>
      </c>
      <c r="F684" s="19" t="s">
        <v>1523</v>
      </c>
      <c r="G684" s="19" t="s">
        <v>1363</v>
      </c>
      <c r="H684" s="19" t="s">
        <v>1105</v>
      </c>
      <c r="I684" s="19"/>
      <c r="J684" s="19" t="s">
        <v>18</v>
      </c>
      <c r="K684" s="19" t="s">
        <v>18</v>
      </c>
      <c r="L684" s="19" t="s">
        <v>18</v>
      </c>
      <c r="M684" s="19" t="s">
        <v>19</v>
      </c>
      <c r="N684" s="19" t="s">
        <v>19</v>
      </c>
      <c r="O684" s="19" t="s">
        <v>19</v>
      </c>
      <c r="P684" s="19">
        <v>102.368056</v>
      </c>
      <c r="Q684" s="19">
        <v>3.7111109999999998</v>
      </c>
      <c r="R684" s="19"/>
      <c r="S684" s="19" t="s">
        <v>41</v>
      </c>
    </row>
    <row r="685" spans="1:19" hidden="1" x14ac:dyDescent="0.25">
      <c r="A685" s="28">
        <v>3726073</v>
      </c>
      <c r="B685" s="15" t="s">
        <v>1604</v>
      </c>
      <c r="C685" s="19" t="s">
        <v>12</v>
      </c>
      <c r="D685" s="21" t="s">
        <v>1363</v>
      </c>
      <c r="E685" s="19" t="s">
        <v>1563</v>
      </c>
      <c r="F685" s="19" t="s">
        <v>1604</v>
      </c>
      <c r="G685" s="19" t="s">
        <v>1363</v>
      </c>
      <c r="H685" s="19" t="s">
        <v>935</v>
      </c>
      <c r="I685" s="19"/>
      <c r="J685" s="19" t="s">
        <v>18</v>
      </c>
      <c r="K685" s="19" t="s">
        <v>18</v>
      </c>
      <c r="L685" s="19" t="s">
        <v>18</v>
      </c>
      <c r="M685" s="19" t="s">
        <v>19</v>
      </c>
      <c r="N685" s="19" t="s">
        <v>19</v>
      </c>
      <c r="O685" s="19" t="s">
        <v>19</v>
      </c>
      <c r="P685" s="19">
        <v>102.643056</v>
      </c>
      <c r="Q685" s="19">
        <v>3.7805559999999998</v>
      </c>
      <c r="R685" s="19"/>
      <c r="S685" s="19" t="s">
        <v>41</v>
      </c>
    </row>
    <row r="686" spans="1:19" hidden="1" x14ac:dyDescent="0.25">
      <c r="A686" s="28">
        <v>3726089</v>
      </c>
      <c r="B686" s="15" t="s">
        <v>1605</v>
      </c>
      <c r="C686" s="19" t="s">
        <v>12</v>
      </c>
      <c r="D686" s="21" t="s">
        <v>1363</v>
      </c>
      <c r="E686" s="19" t="s">
        <v>1486</v>
      </c>
      <c r="F686" s="19" t="s">
        <v>1564</v>
      </c>
      <c r="G686" s="19" t="s">
        <v>1363</v>
      </c>
      <c r="H686" s="19" t="s">
        <v>54</v>
      </c>
      <c r="I686" s="19"/>
      <c r="J686" s="19" t="s">
        <v>18</v>
      </c>
      <c r="K686" s="19" t="s">
        <v>18</v>
      </c>
      <c r="L686" s="19" t="s">
        <v>18</v>
      </c>
      <c r="M686" s="19" t="s">
        <v>19</v>
      </c>
      <c r="N686" s="19" t="s">
        <v>19</v>
      </c>
      <c r="O686" s="19" t="s">
        <v>19</v>
      </c>
      <c r="P686" s="19">
        <v>102.64444399999999</v>
      </c>
      <c r="Q686" s="19">
        <v>3.7277779999999998</v>
      </c>
      <c r="R686" s="19"/>
      <c r="S686" s="19" t="s">
        <v>164</v>
      </c>
    </row>
    <row r="687" spans="1:19" hidden="1" x14ac:dyDescent="0.25">
      <c r="A687" s="28">
        <v>3731018</v>
      </c>
      <c r="B687" s="15" t="s">
        <v>1606</v>
      </c>
      <c r="C687" s="19" t="s">
        <v>12</v>
      </c>
      <c r="D687" s="21" t="s">
        <v>1363</v>
      </c>
      <c r="E687" s="19" t="s">
        <v>1585</v>
      </c>
      <c r="F687" s="19" t="s">
        <v>1589</v>
      </c>
      <c r="G687" s="19" t="s">
        <v>1585</v>
      </c>
      <c r="H687" s="19" t="s">
        <v>1537</v>
      </c>
      <c r="I687" s="19"/>
      <c r="J687" s="19" t="s">
        <v>18</v>
      </c>
      <c r="K687" s="19" t="s">
        <v>18</v>
      </c>
      <c r="L687" s="19" t="s">
        <v>19</v>
      </c>
      <c r="M687" s="19" t="s">
        <v>19</v>
      </c>
      <c r="N687" s="19" t="s">
        <v>18</v>
      </c>
      <c r="O687" s="19" t="s">
        <v>19</v>
      </c>
      <c r="P687" s="19">
        <v>103.11666700000001</v>
      </c>
      <c r="Q687" s="19">
        <v>3.7055560000000001</v>
      </c>
      <c r="R687" s="19"/>
      <c r="S687" s="19" t="s">
        <v>164</v>
      </c>
    </row>
    <row r="688" spans="1:19" hidden="1" x14ac:dyDescent="0.25">
      <c r="A688" s="28">
        <v>3732019</v>
      </c>
      <c r="B688" s="15" t="s">
        <v>1607</v>
      </c>
      <c r="C688" s="19" t="s">
        <v>12</v>
      </c>
      <c r="D688" s="21" t="s">
        <v>1363</v>
      </c>
      <c r="E688" s="19" t="s">
        <v>1585</v>
      </c>
      <c r="F688" s="19" t="s">
        <v>1589</v>
      </c>
      <c r="G688" s="19" t="s">
        <v>1585</v>
      </c>
      <c r="H688" s="19" t="s">
        <v>468</v>
      </c>
      <c r="I688" s="19" t="s">
        <v>1608</v>
      </c>
      <c r="J688" s="19" t="s">
        <v>19</v>
      </c>
      <c r="K688" s="19" t="s">
        <v>19</v>
      </c>
      <c r="L688" s="19" t="s">
        <v>18</v>
      </c>
      <c r="M688" s="19" t="s">
        <v>19</v>
      </c>
      <c r="N688" s="19" t="s">
        <v>19</v>
      </c>
      <c r="O688" s="19" t="s">
        <v>19</v>
      </c>
      <c r="P688" s="19">
        <v>103.208333</v>
      </c>
      <c r="Q688" s="19">
        <v>3.766667</v>
      </c>
      <c r="R688" s="19"/>
      <c r="S688" s="19" t="s">
        <v>221</v>
      </c>
    </row>
    <row r="689" spans="1:19" hidden="1" x14ac:dyDescent="0.25">
      <c r="A689" s="28">
        <v>3732020</v>
      </c>
      <c r="B689" s="15" t="s">
        <v>1609</v>
      </c>
      <c r="C689" s="19" t="s">
        <v>12</v>
      </c>
      <c r="D689" s="21" t="s">
        <v>1363</v>
      </c>
      <c r="E689" s="19" t="s">
        <v>1585</v>
      </c>
      <c r="F689" s="19" t="s">
        <v>1589</v>
      </c>
      <c r="G689" s="19" t="s">
        <v>1585</v>
      </c>
      <c r="H689" s="19" t="s">
        <v>1284</v>
      </c>
      <c r="I689" s="19"/>
      <c r="J689" s="19" t="s">
        <v>18</v>
      </c>
      <c r="K689" s="19" t="s">
        <v>18</v>
      </c>
      <c r="L689" s="19" t="s">
        <v>18</v>
      </c>
      <c r="M689" s="19" t="s">
        <v>19</v>
      </c>
      <c r="N689" s="19" t="s">
        <v>18</v>
      </c>
      <c r="O689" s="19" t="s">
        <v>19</v>
      </c>
      <c r="P689" s="19">
        <v>103.280556</v>
      </c>
      <c r="Q689" s="19">
        <v>3.7722220000000002</v>
      </c>
      <c r="R689" s="19"/>
      <c r="S689" s="19" t="s">
        <v>41</v>
      </c>
    </row>
    <row r="690" spans="1:19" hidden="1" x14ac:dyDescent="0.25">
      <c r="A690" s="28">
        <v>3732021</v>
      </c>
      <c r="B690" s="15" t="s">
        <v>1610</v>
      </c>
      <c r="C690" s="19" t="s">
        <v>12</v>
      </c>
      <c r="D690" s="21" t="s">
        <v>1363</v>
      </c>
      <c r="E690" s="19" t="s">
        <v>1585</v>
      </c>
      <c r="F690" s="19" t="s">
        <v>1611</v>
      </c>
      <c r="G690" s="19" t="s">
        <v>1585</v>
      </c>
      <c r="H690" s="19" t="s">
        <v>742</v>
      </c>
      <c r="I690" s="19"/>
      <c r="J690" s="19" t="s">
        <v>18</v>
      </c>
      <c r="K690" s="19" t="s">
        <v>18</v>
      </c>
      <c r="L690" s="19" t="s">
        <v>18</v>
      </c>
      <c r="M690" s="19" t="s">
        <v>19</v>
      </c>
      <c r="N690" s="19" t="s">
        <v>18</v>
      </c>
      <c r="O690" s="19" t="s">
        <v>19</v>
      </c>
      <c r="P690" s="19">
        <v>103.3</v>
      </c>
      <c r="Q690" s="19">
        <v>3.730556</v>
      </c>
      <c r="R690" s="19"/>
      <c r="S690" s="19" t="s">
        <v>41</v>
      </c>
    </row>
    <row r="691" spans="1:19" hidden="1" x14ac:dyDescent="0.25">
      <c r="A691" s="28">
        <v>3808001</v>
      </c>
      <c r="B691" s="15" t="s">
        <v>442</v>
      </c>
      <c r="C691" s="19" t="s">
        <v>12</v>
      </c>
      <c r="D691" s="21" t="s">
        <v>13</v>
      </c>
      <c r="E691" s="19" t="s">
        <v>390</v>
      </c>
      <c r="F691" s="19" t="s">
        <v>443</v>
      </c>
      <c r="G691" s="19" t="s">
        <v>357</v>
      </c>
      <c r="H691" s="19" t="s">
        <v>444</v>
      </c>
      <c r="I691" s="19"/>
      <c r="J691" s="19" t="s">
        <v>18</v>
      </c>
      <c r="K691" s="19" t="s">
        <v>18</v>
      </c>
      <c r="L691" s="19" t="s">
        <v>19</v>
      </c>
      <c r="M691" s="19" t="s">
        <v>18</v>
      </c>
      <c r="N691" s="19" t="s">
        <v>18</v>
      </c>
      <c r="O691" s="19" t="s">
        <v>19</v>
      </c>
      <c r="P691" s="19">
        <v>100.895889</v>
      </c>
      <c r="Q691" s="19">
        <v>3.8472219999999999</v>
      </c>
      <c r="R691" s="19"/>
      <c r="S691" s="19" t="s">
        <v>41</v>
      </c>
    </row>
    <row r="692" spans="1:19" hidden="1" x14ac:dyDescent="0.25">
      <c r="A692" s="28">
        <v>3808002</v>
      </c>
      <c r="B692" s="15" t="s">
        <v>445</v>
      </c>
      <c r="C692" s="19" t="s">
        <v>12</v>
      </c>
      <c r="D692" s="21" t="s">
        <v>13</v>
      </c>
      <c r="E692" s="19" t="s">
        <v>390</v>
      </c>
      <c r="F692" s="19" t="s">
        <v>417</v>
      </c>
      <c r="G692" s="19" t="s">
        <v>357</v>
      </c>
      <c r="H692" s="19"/>
      <c r="I692" s="19"/>
      <c r="J692" s="19" t="s">
        <v>18</v>
      </c>
      <c r="K692" s="19" t="s">
        <v>18</v>
      </c>
      <c r="L692" s="19" t="s">
        <v>19</v>
      </c>
      <c r="M692" s="19" t="s">
        <v>19</v>
      </c>
      <c r="N692" s="19" t="s">
        <v>18</v>
      </c>
      <c r="O692" s="19" t="s">
        <v>19</v>
      </c>
      <c r="P692" s="19">
        <v>100.821944</v>
      </c>
      <c r="Q692" s="19">
        <v>3.8198889999999999</v>
      </c>
      <c r="R692" s="19"/>
      <c r="S692" s="19"/>
    </row>
    <row r="693" spans="1:19" x14ac:dyDescent="0.25">
      <c r="A693" s="28">
        <v>3808163</v>
      </c>
      <c r="B693" s="15" t="s">
        <v>646</v>
      </c>
      <c r="C693" s="19" t="s">
        <v>12</v>
      </c>
      <c r="D693" s="21" t="s">
        <v>633</v>
      </c>
      <c r="E693" s="19" t="s">
        <v>647</v>
      </c>
      <c r="F693" s="19" t="s">
        <v>648</v>
      </c>
      <c r="G693" s="19" t="s">
        <v>648</v>
      </c>
      <c r="H693" s="19" t="s">
        <v>142</v>
      </c>
      <c r="I693" s="19"/>
      <c r="J693" s="19" t="s">
        <v>18</v>
      </c>
      <c r="K693" s="19" t="s">
        <v>18</v>
      </c>
      <c r="L693" s="19" t="s">
        <v>18</v>
      </c>
      <c r="M693" s="19" t="s">
        <v>19</v>
      </c>
      <c r="N693" s="19" t="s">
        <v>19</v>
      </c>
      <c r="O693" s="19" t="s">
        <v>19</v>
      </c>
      <c r="P693" s="19">
        <v>100.82083299999999</v>
      </c>
      <c r="Q693" s="19">
        <v>3.891667</v>
      </c>
      <c r="R693" s="19"/>
      <c r="S693" s="19" t="s">
        <v>20</v>
      </c>
    </row>
    <row r="694" spans="1:19" hidden="1" x14ac:dyDescent="0.25">
      <c r="A694" s="28">
        <v>3809009</v>
      </c>
      <c r="B694" s="15" t="s">
        <v>446</v>
      </c>
      <c r="C694" s="19" t="s">
        <v>12</v>
      </c>
      <c r="D694" s="21" t="s">
        <v>13</v>
      </c>
      <c r="E694" s="19" t="s">
        <v>390</v>
      </c>
      <c r="F694" s="19" t="s">
        <v>417</v>
      </c>
      <c r="G694" s="19" t="s">
        <v>357</v>
      </c>
      <c r="H694" s="19" t="s">
        <v>102</v>
      </c>
      <c r="I694" s="19"/>
      <c r="J694" s="19" t="s">
        <v>18</v>
      </c>
      <c r="K694" s="19" t="s">
        <v>18</v>
      </c>
      <c r="L694" s="19" t="s">
        <v>19</v>
      </c>
      <c r="M694" s="19" t="s">
        <v>19</v>
      </c>
      <c r="N694" s="19" t="s">
        <v>18</v>
      </c>
      <c r="O694" s="19" t="s">
        <v>19</v>
      </c>
      <c r="P694" s="19">
        <v>100.937</v>
      </c>
      <c r="Q694" s="19">
        <v>3.8378329999999998</v>
      </c>
      <c r="R694" s="19"/>
      <c r="S694" s="19" t="s">
        <v>20</v>
      </c>
    </row>
    <row r="695" spans="1:19" hidden="1" x14ac:dyDescent="0.25">
      <c r="A695" s="28">
        <v>3813001</v>
      </c>
      <c r="B695" s="15" t="s">
        <v>447</v>
      </c>
      <c r="C695" s="19" t="s">
        <v>12</v>
      </c>
      <c r="D695" s="21" t="s">
        <v>13</v>
      </c>
      <c r="E695" s="19" t="s">
        <v>275</v>
      </c>
      <c r="F695" s="19"/>
      <c r="G695" s="19" t="s">
        <v>305</v>
      </c>
      <c r="H695" s="19"/>
      <c r="I695" s="19"/>
      <c r="J695" s="19" t="s">
        <v>19</v>
      </c>
      <c r="K695" s="19" t="s">
        <v>18</v>
      </c>
      <c r="L695" s="19" t="s">
        <v>19</v>
      </c>
      <c r="M695" s="19" t="s">
        <v>18</v>
      </c>
      <c r="N695" s="19" t="s">
        <v>19</v>
      </c>
      <c r="O695" s="19" t="s">
        <v>19</v>
      </c>
      <c r="P695" s="19">
        <v>101.361611</v>
      </c>
      <c r="Q695" s="19">
        <v>3.8044169999999999</v>
      </c>
      <c r="R695" s="19"/>
      <c r="S695" s="19"/>
    </row>
    <row r="696" spans="1:19" x14ac:dyDescent="0.25">
      <c r="A696" s="28">
        <v>3813158</v>
      </c>
      <c r="B696" s="15" t="s">
        <v>649</v>
      </c>
      <c r="C696" s="19" t="s">
        <v>12</v>
      </c>
      <c r="D696" s="21" t="s">
        <v>633</v>
      </c>
      <c r="E696" s="19" t="s">
        <v>634</v>
      </c>
      <c r="F696" s="19" t="s">
        <v>650</v>
      </c>
      <c r="G696" s="19" t="s">
        <v>417</v>
      </c>
      <c r="H696" s="19" t="s">
        <v>139</v>
      </c>
      <c r="I696" s="19"/>
      <c r="J696" s="19" t="s">
        <v>18</v>
      </c>
      <c r="K696" s="19" t="s">
        <v>18</v>
      </c>
      <c r="L696" s="19" t="s">
        <v>18</v>
      </c>
      <c r="M696" s="19" t="s">
        <v>19</v>
      </c>
      <c r="N696" s="19" t="s">
        <v>18</v>
      </c>
      <c r="O696" s="19" t="s">
        <v>19</v>
      </c>
      <c r="P696" s="19">
        <v>101.379167</v>
      </c>
      <c r="Q696" s="19">
        <v>3.8972220000000002</v>
      </c>
      <c r="R696" s="19"/>
      <c r="S696" s="19" t="s">
        <v>20</v>
      </c>
    </row>
    <row r="697" spans="1:19" x14ac:dyDescent="0.25">
      <c r="A697" s="28">
        <v>3814156</v>
      </c>
      <c r="B697" s="15" t="s">
        <v>651</v>
      </c>
      <c r="C697" s="19" t="s">
        <v>12</v>
      </c>
      <c r="D697" s="21" t="s">
        <v>633</v>
      </c>
      <c r="E697" s="19" t="s">
        <v>634</v>
      </c>
      <c r="F697" s="19" t="s">
        <v>652</v>
      </c>
      <c r="G697" s="19" t="s">
        <v>417</v>
      </c>
      <c r="H697" s="19" t="s">
        <v>329</v>
      </c>
      <c r="I697" s="19"/>
      <c r="J697" s="19" t="s">
        <v>18</v>
      </c>
      <c r="K697" s="19" t="s">
        <v>18</v>
      </c>
      <c r="L697" s="19" t="s">
        <v>18</v>
      </c>
      <c r="M697" s="19" t="s">
        <v>19</v>
      </c>
      <c r="N697" s="19" t="s">
        <v>19</v>
      </c>
      <c r="O697" s="19" t="s">
        <v>19</v>
      </c>
      <c r="P697" s="19">
        <v>101.444444</v>
      </c>
      <c r="Q697" s="19">
        <v>3.8611110000000002</v>
      </c>
      <c r="R697" s="19"/>
      <c r="S697" s="19" t="s">
        <v>20</v>
      </c>
    </row>
    <row r="698" spans="1:19" x14ac:dyDescent="0.25">
      <c r="A698" s="28">
        <v>3814157</v>
      </c>
      <c r="B698" s="15" t="s">
        <v>653</v>
      </c>
      <c r="C698" s="19" t="s">
        <v>12</v>
      </c>
      <c r="D698" s="21" t="s">
        <v>633</v>
      </c>
      <c r="E698" s="19" t="s">
        <v>634</v>
      </c>
      <c r="F698" s="19" t="s">
        <v>652</v>
      </c>
      <c r="G698" s="19" t="s">
        <v>417</v>
      </c>
      <c r="H698" s="19" t="s">
        <v>654</v>
      </c>
      <c r="I698" s="19" t="s">
        <v>655</v>
      </c>
      <c r="J698" s="19" t="s">
        <v>19</v>
      </c>
      <c r="K698" s="19" t="s">
        <v>19</v>
      </c>
      <c r="L698" s="19" t="s">
        <v>18</v>
      </c>
      <c r="M698" s="19" t="s">
        <v>19</v>
      </c>
      <c r="N698" s="19" t="s">
        <v>19</v>
      </c>
      <c r="O698" s="19" t="s">
        <v>19</v>
      </c>
      <c r="P698" s="19">
        <v>101.408333</v>
      </c>
      <c r="Q698" s="19">
        <v>3.831944</v>
      </c>
      <c r="R698" s="19"/>
      <c r="S698" s="19" t="s">
        <v>20</v>
      </c>
    </row>
    <row r="699" spans="1:19" x14ac:dyDescent="0.25">
      <c r="A699" s="28">
        <v>3814158</v>
      </c>
      <c r="B699" s="15" t="s">
        <v>656</v>
      </c>
      <c r="C699" s="19" t="s">
        <v>12</v>
      </c>
      <c r="D699" s="21" t="s">
        <v>633</v>
      </c>
      <c r="E699" s="19" t="s">
        <v>634</v>
      </c>
      <c r="F699" s="19" t="s">
        <v>657</v>
      </c>
      <c r="G699" s="19" t="s">
        <v>357</v>
      </c>
      <c r="H699" s="19"/>
      <c r="I699" s="19"/>
      <c r="J699" s="19" t="s">
        <v>19</v>
      </c>
      <c r="K699" s="19" t="s">
        <v>18</v>
      </c>
      <c r="L699" s="19" t="s">
        <v>19</v>
      </c>
      <c r="M699" s="19" t="s">
        <v>18</v>
      </c>
      <c r="N699" s="19" t="s">
        <v>19</v>
      </c>
      <c r="O699" s="19" t="s">
        <v>19</v>
      </c>
      <c r="P699" s="19">
        <v>101.4941</v>
      </c>
      <c r="Q699" s="19">
        <v>3.835331</v>
      </c>
      <c r="R699" s="19"/>
      <c r="S699" s="19"/>
    </row>
    <row r="700" spans="1:19" x14ac:dyDescent="0.25">
      <c r="A700" s="28">
        <v>3814159</v>
      </c>
      <c r="B700" s="15" t="s">
        <v>652</v>
      </c>
      <c r="C700" s="19" t="s">
        <v>12</v>
      </c>
      <c r="D700" s="21" t="s">
        <v>633</v>
      </c>
      <c r="E700" s="19" t="s">
        <v>634</v>
      </c>
      <c r="F700" s="19" t="s">
        <v>658</v>
      </c>
      <c r="G700" s="19" t="s">
        <v>357</v>
      </c>
      <c r="H700" s="19"/>
      <c r="I700" s="19"/>
      <c r="J700" s="19" t="s">
        <v>19</v>
      </c>
      <c r="K700" s="19" t="s">
        <v>18</v>
      </c>
      <c r="L700" s="19" t="s">
        <v>19</v>
      </c>
      <c r="M700" s="19" t="s">
        <v>18</v>
      </c>
      <c r="N700" s="19" t="s">
        <v>19</v>
      </c>
      <c r="O700" s="19" t="s">
        <v>19</v>
      </c>
      <c r="P700" s="19">
        <v>101.40809400000001</v>
      </c>
      <c r="Q700" s="19">
        <v>3.825669</v>
      </c>
      <c r="R700" s="19"/>
      <c r="S700" s="19"/>
    </row>
    <row r="701" spans="1:19" x14ac:dyDescent="0.25">
      <c r="A701" s="28">
        <v>3814160</v>
      </c>
      <c r="B701" s="15" t="s">
        <v>659</v>
      </c>
      <c r="C701" s="19" t="s">
        <v>12</v>
      </c>
      <c r="D701" s="21" t="s">
        <v>633</v>
      </c>
      <c r="E701" s="19" t="s">
        <v>634</v>
      </c>
      <c r="F701" s="19"/>
      <c r="G701" s="19" t="s">
        <v>357</v>
      </c>
      <c r="H701" s="19"/>
      <c r="I701" s="19"/>
      <c r="J701" s="19" t="s">
        <v>19</v>
      </c>
      <c r="K701" s="19" t="s">
        <v>18</v>
      </c>
      <c r="L701" s="19" t="s">
        <v>19</v>
      </c>
      <c r="M701" s="19" t="s">
        <v>18</v>
      </c>
      <c r="N701" s="19" t="s">
        <v>19</v>
      </c>
      <c r="O701" s="19" t="s">
        <v>19</v>
      </c>
      <c r="P701" s="19">
        <v>101.448064</v>
      </c>
      <c r="Q701" s="19">
        <v>3.8656419999999998</v>
      </c>
      <c r="R701" s="19"/>
      <c r="S701" s="19"/>
    </row>
    <row r="702" spans="1:19" hidden="1" x14ac:dyDescent="0.25">
      <c r="A702" s="28">
        <v>3818054</v>
      </c>
      <c r="B702" s="15" t="s">
        <v>1612</v>
      </c>
      <c r="C702" s="19" t="s">
        <v>12</v>
      </c>
      <c r="D702" s="21" t="s">
        <v>1363</v>
      </c>
      <c r="E702" s="19" t="s">
        <v>1552</v>
      </c>
      <c r="F702" s="19" t="s">
        <v>1613</v>
      </c>
      <c r="G702" s="19" t="s">
        <v>1363</v>
      </c>
      <c r="H702" s="19" t="s">
        <v>1614</v>
      </c>
      <c r="I702" s="19"/>
      <c r="J702" s="19" t="s">
        <v>18</v>
      </c>
      <c r="K702" s="19" t="s">
        <v>18</v>
      </c>
      <c r="L702" s="19" t="s">
        <v>19</v>
      </c>
      <c r="M702" s="19" t="s">
        <v>19</v>
      </c>
      <c r="N702" s="19" t="s">
        <v>18</v>
      </c>
      <c r="O702" s="19" t="s">
        <v>19</v>
      </c>
      <c r="P702" s="19">
        <v>101.847222</v>
      </c>
      <c r="Q702" s="19">
        <v>3.8055560000000002</v>
      </c>
      <c r="R702" s="19"/>
      <c r="S702" s="19" t="s">
        <v>41</v>
      </c>
    </row>
    <row r="703" spans="1:19" hidden="1" x14ac:dyDescent="0.25">
      <c r="A703" s="28">
        <v>3818055</v>
      </c>
      <c r="B703" s="15" t="s">
        <v>1615</v>
      </c>
      <c r="C703" s="19" t="s">
        <v>12</v>
      </c>
      <c r="D703" s="21" t="s">
        <v>1363</v>
      </c>
      <c r="E703" s="19" t="s">
        <v>1552</v>
      </c>
      <c r="F703" s="19" t="s">
        <v>1596</v>
      </c>
      <c r="G703" s="19" t="s">
        <v>1363</v>
      </c>
      <c r="H703" s="19" t="s">
        <v>1557</v>
      </c>
      <c r="I703" s="19" t="s">
        <v>1616</v>
      </c>
      <c r="J703" s="19" t="s">
        <v>19</v>
      </c>
      <c r="K703" s="19" t="s">
        <v>19</v>
      </c>
      <c r="L703" s="19" t="s">
        <v>18</v>
      </c>
      <c r="M703" s="19" t="s">
        <v>19</v>
      </c>
      <c r="N703" s="19" t="s">
        <v>19</v>
      </c>
      <c r="O703" s="19" t="s">
        <v>19</v>
      </c>
      <c r="P703" s="19">
        <v>101.854167</v>
      </c>
      <c r="Q703" s="19">
        <v>3.8180559999999999</v>
      </c>
      <c r="R703" s="19"/>
      <c r="S703" s="19" t="s">
        <v>41</v>
      </c>
    </row>
    <row r="704" spans="1:19" hidden="1" x14ac:dyDescent="0.25">
      <c r="A704" s="28">
        <v>3818057</v>
      </c>
      <c r="B704" s="15" t="s">
        <v>1617</v>
      </c>
      <c r="C704" s="19" t="s">
        <v>12</v>
      </c>
      <c r="D704" s="21" t="s">
        <v>1363</v>
      </c>
      <c r="E704" s="19" t="s">
        <v>1552</v>
      </c>
      <c r="F704" s="19" t="s">
        <v>1618</v>
      </c>
      <c r="G704" s="19" t="s">
        <v>1363</v>
      </c>
      <c r="H704" s="19" t="s">
        <v>154</v>
      </c>
      <c r="I704" s="19"/>
      <c r="J704" s="19" t="s">
        <v>18</v>
      </c>
      <c r="K704" s="19" t="s">
        <v>18</v>
      </c>
      <c r="L704" s="19" t="s">
        <v>18</v>
      </c>
      <c r="M704" s="19" t="s">
        <v>19</v>
      </c>
      <c r="N704" s="19" t="s">
        <v>19</v>
      </c>
      <c r="O704" s="19" t="s">
        <v>19</v>
      </c>
      <c r="P704" s="19">
        <v>101.890278</v>
      </c>
      <c r="Q704" s="19">
        <v>3.8763890000000001</v>
      </c>
      <c r="R704" s="19"/>
      <c r="S704" s="19" t="s">
        <v>41</v>
      </c>
    </row>
    <row r="705" spans="1:19" hidden="1" x14ac:dyDescent="0.25">
      <c r="A705" s="28">
        <v>3819056</v>
      </c>
      <c r="B705" s="15" t="s">
        <v>1619</v>
      </c>
      <c r="C705" s="19" t="s">
        <v>12</v>
      </c>
      <c r="D705" s="21" t="s">
        <v>1363</v>
      </c>
      <c r="E705" s="19" t="s">
        <v>1552</v>
      </c>
      <c r="F705" s="19" t="s">
        <v>1620</v>
      </c>
      <c r="G705" s="19" t="s">
        <v>1363</v>
      </c>
      <c r="H705" s="19" t="s">
        <v>139</v>
      </c>
      <c r="I705" s="19"/>
      <c r="J705" s="19" t="s">
        <v>18</v>
      </c>
      <c r="K705" s="19" t="s">
        <v>18</v>
      </c>
      <c r="L705" s="19" t="s">
        <v>18</v>
      </c>
      <c r="M705" s="19" t="s">
        <v>19</v>
      </c>
      <c r="N705" s="19" t="s">
        <v>19</v>
      </c>
      <c r="O705" s="19" t="s">
        <v>19</v>
      </c>
      <c r="P705" s="19">
        <v>101.936111</v>
      </c>
      <c r="Q705" s="19">
        <v>3.822222</v>
      </c>
      <c r="R705" s="19"/>
      <c r="S705" s="19" t="s">
        <v>41</v>
      </c>
    </row>
    <row r="706" spans="1:19" hidden="1" x14ac:dyDescent="0.25">
      <c r="A706" s="28">
        <v>3823075</v>
      </c>
      <c r="B706" s="15" t="s">
        <v>1621</v>
      </c>
      <c r="C706" s="19" t="s">
        <v>12</v>
      </c>
      <c r="D706" s="21" t="s">
        <v>1363</v>
      </c>
      <c r="E706" s="19" t="s">
        <v>1573</v>
      </c>
      <c r="F706" s="19" t="s">
        <v>1622</v>
      </c>
      <c r="G706" s="19" t="s">
        <v>1363</v>
      </c>
      <c r="H706" s="19" t="s">
        <v>1525</v>
      </c>
      <c r="I706" s="19"/>
      <c r="J706" s="19" t="s">
        <v>18</v>
      </c>
      <c r="K706" s="19" t="s">
        <v>18</v>
      </c>
      <c r="L706" s="19" t="s">
        <v>18</v>
      </c>
      <c r="M706" s="19" t="s">
        <v>19</v>
      </c>
      <c r="N706" s="19" t="s">
        <v>19</v>
      </c>
      <c r="O706" s="19" t="s">
        <v>19</v>
      </c>
      <c r="P706" s="19">
        <v>102.358333</v>
      </c>
      <c r="Q706" s="19">
        <v>3.8097219999999998</v>
      </c>
      <c r="R706" s="19"/>
      <c r="S706" s="19" t="s">
        <v>20</v>
      </c>
    </row>
    <row r="707" spans="1:19" hidden="1" x14ac:dyDescent="0.25">
      <c r="A707" s="28">
        <v>3824001</v>
      </c>
      <c r="B707" s="15" t="s">
        <v>1623</v>
      </c>
      <c r="C707" s="19" t="s">
        <v>12</v>
      </c>
      <c r="D707" s="21" t="s">
        <v>1363</v>
      </c>
      <c r="E707" s="19" t="s">
        <v>1573</v>
      </c>
      <c r="F707" s="19" t="s">
        <v>1523</v>
      </c>
      <c r="G707" s="19" t="s">
        <v>1363</v>
      </c>
      <c r="H707" s="19" t="s">
        <v>969</v>
      </c>
      <c r="I707" s="19"/>
      <c r="J707" s="19" t="s">
        <v>18</v>
      </c>
      <c r="K707" s="19" t="s">
        <v>18</v>
      </c>
      <c r="L707" s="19" t="s">
        <v>18</v>
      </c>
      <c r="M707" s="19" t="s">
        <v>19</v>
      </c>
      <c r="N707" s="19" t="s">
        <v>19</v>
      </c>
      <c r="O707" s="19" t="s">
        <v>19</v>
      </c>
      <c r="P707" s="19">
        <v>102.444444</v>
      </c>
      <c r="Q707" s="19">
        <v>3.858333</v>
      </c>
      <c r="R707" s="19"/>
      <c r="S707" s="19" t="s">
        <v>41</v>
      </c>
    </row>
    <row r="708" spans="1:19" hidden="1" x14ac:dyDescent="0.25">
      <c r="A708" s="28">
        <v>3824074</v>
      </c>
      <c r="B708" s="15" t="s">
        <v>1624</v>
      </c>
      <c r="C708" s="19" t="s">
        <v>12</v>
      </c>
      <c r="D708" s="21" t="s">
        <v>1363</v>
      </c>
      <c r="E708" s="19" t="s">
        <v>1573</v>
      </c>
      <c r="F708" s="19" t="s">
        <v>1523</v>
      </c>
      <c r="G708" s="19" t="s">
        <v>1363</v>
      </c>
      <c r="H708" s="19" t="s">
        <v>552</v>
      </c>
      <c r="I708" s="19" t="s">
        <v>444</v>
      </c>
      <c r="J708" s="19" t="s">
        <v>19</v>
      </c>
      <c r="K708" s="19" t="s">
        <v>19</v>
      </c>
      <c r="L708" s="19" t="s">
        <v>18</v>
      </c>
      <c r="M708" s="19" t="s">
        <v>19</v>
      </c>
      <c r="N708" s="19" t="s">
        <v>19</v>
      </c>
      <c r="O708" s="19" t="s">
        <v>19</v>
      </c>
      <c r="P708" s="19">
        <v>102.438889</v>
      </c>
      <c r="Q708" s="19">
        <v>3.85</v>
      </c>
      <c r="R708" s="19"/>
      <c r="S708" s="19" t="s">
        <v>472</v>
      </c>
    </row>
    <row r="709" spans="1:19" hidden="1" x14ac:dyDescent="0.25">
      <c r="A709" s="28">
        <v>3825001</v>
      </c>
      <c r="B709" s="15" t="s">
        <v>1625</v>
      </c>
      <c r="C709" s="19" t="s">
        <v>12</v>
      </c>
      <c r="D709" s="21" t="s">
        <v>1363</v>
      </c>
      <c r="E709" s="19" t="s">
        <v>1573</v>
      </c>
      <c r="F709" s="19" t="s">
        <v>1626</v>
      </c>
      <c r="G709" s="19" t="s">
        <v>1363</v>
      </c>
      <c r="H709" s="19" t="s">
        <v>951</v>
      </c>
      <c r="I709" s="19"/>
      <c r="J709" s="19" t="s">
        <v>19</v>
      </c>
      <c r="K709" s="19" t="s">
        <v>19</v>
      </c>
      <c r="L709" s="19" t="s">
        <v>19</v>
      </c>
      <c r="M709" s="19" t="s">
        <v>19</v>
      </c>
      <c r="N709" s="19" t="s">
        <v>18</v>
      </c>
      <c r="O709" s="19" t="s">
        <v>19</v>
      </c>
      <c r="P709" s="19">
        <v>102.534722</v>
      </c>
      <c r="Q709" s="19">
        <v>3.8972220000000002</v>
      </c>
      <c r="R709" s="19"/>
      <c r="S709" s="19" t="s">
        <v>421</v>
      </c>
    </row>
    <row r="710" spans="1:19" hidden="1" x14ac:dyDescent="0.25">
      <c r="A710" s="28">
        <v>3828091</v>
      </c>
      <c r="B710" s="15" t="s">
        <v>1627</v>
      </c>
      <c r="C710" s="19" t="s">
        <v>12</v>
      </c>
      <c r="D710" s="21" t="s">
        <v>1363</v>
      </c>
      <c r="E710" s="19" t="s">
        <v>1585</v>
      </c>
      <c r="F710" s="19" t="s">
        <v>1586</v>
      </c>
      <c r="G710" s="19" t="s">
        <v>1363</v>
      </c>
      <c r="H710" s="19" t="s">
        <v>533</v>
      </c>
      <c r="I710" s="19"/>
      <c r="J710" s="19" t="s">
        <v>18</v>
      </c>
      <c r="K710" s="19" t="s">
        <v>18</v>
      </c>
      <c r="L710" s="19" t="s">
        <v>18</v>
      </c>
      <c r="M710" s="19" t="s">
        <v>19</v>
      </c>
      <c r="N710" s="19" t="s">
        <v>18</v>
      </c>
      <c r="O710" s="19" t="s">
        <v>19</v>
      </c>
      <c r="P710" s="19">
        <v>102.8</v>
      </c>
      <c r="Q710" s="19">
        <v>3.8402780000000001</v>
      </c>
      <c r="R710" s="19"/>
      <c r="S710" s="19" t="s">
        <v>41</v>
      </c>
    </row>
    <row r="711" spans="1:19" hidden="1" x14ac:dyDescent="0.25">
      <c r="A711" s="28">
        <v>3831001</v>
      </c>
      <c r="B711" s="15" t="s">
        <v>1628</v>
      </c>
      <c r="C711" s="19" t="s">
        <v>12</v>
      </c>
      <c r="D711" s="21" t="s">
        <v>1363</v>
      </c>
      <c r="E711" s="19" t="s">
        <v>1585</v>
      </c>
      <c r="F711" s="19" t="s">
        <v>1629</v>
      </c>
      <c r="G711" s="19" t="s">
        <v>1629</v>
      </c>
      <c r="H711" s="19"/>
      <c r="I711" s="19"/>
      <c r="J711" s="19" t="s">
        <v>19</v>
      </c>
      <c r="K711" s="19" t="s">
        <v>18</v>
      </c>
      <c r="L711" s="19" t="s">
        <v>19</v>
      </c>
      <c r="M711" s="19" t="s">
        <v>18</v>
      </c>
      <c r="N711" s="19" t="s">
        <v>19</v>
      </c>
      <c r="O711" s="19" t="s">
        <v>19</v>
      </c>
      <c r="P711" s="19">
        <v>103.19</v>
      </c>
      <c r="Q711" s="19">
        <v>3.87</v>
      </c>
      <c r="R711" s="19"/>
      <c r="S711" s="19"/>
    </row>
    <row r="712" spans="1:19" hidden="1" x14ac:dyDescent="0.25">
      <c r="A712" s="28">
        <v>3832015</v>
      </c>
      <c r="B712" s="15" t="s">
        <v>1630</v>
      </c>
      <c r="C712" s="19" t="s">
        <v>12</v>
      </c>
      <c r="D712" s="21" t="s">
        <v>1363</v>
      </c>
      <c r="E712" s="19" t="s">
        <v>1585</v>
      </c>
      <c r="F712" s="19" t="s">
        <v>1631</v>
      </c>
      <c r="G712" s="19" t="s">
        <v>1585</v>
      </c>
      <c r="H712" s="19" t="s">
        <v>558</v>
      </c>
      <c r="I712" s="19"/>
      <c r="J712" s="19" t="s">
        <v>18</v>
      </c>
      <c r="K712" s="19" t="s">
        <v>18</v>
      </c>
      <c r="L712" s="19" t="s">
        <v>18</v>
      </c>
      <c r="M712" s="19" t="s">
        <v>19</v>
      </c>
      <c r="N712" s="19" t="s">
        <v>18</v>
      </c>
      <c r="O712" s="19" t="s">
        <v>19</v>
      </c>
      <c r="P712" s="19">
        <v>103.25833299999999</v>
      </c>
      <c r="Q712" s="19">
        <v>3.8416670000000002</v>
      </c>
      <c r="R712" s="19"/>
      <c r="S712" s="19" t="s">
        <v>41</v>
      </c>
    </row>
    <row r="713" spans="1:19" hidden="1" x14ac:dyDescent="0.25">
      <c r="A713" s="28">
        <v>3832016</v>
      </c>
      <c r="B713" s="15" t="s">
        <v>1632</v>
      </c>
      <c r="C713" s="19" t="s">
        <v>12</v>
      </c>
      <c r="D713" s="21" t="s">
        <v>1363</v>
      </c>
      <c r="E713" s="19" t="s">
        <v>1585</v>
      </c>
      <c r="F713" s="19" t="s">
        <v>1633</v>
      </c>
      <c r="G713" s="19" t="s">
        <v>1585</v>
      </c>
      <c r="H713" s="19" t="s">
        <v>475</v>
      </c>
      <c r="I713" s="19" t="s">
        <v>1608</v>
      </c>
      <c r="J713" s="19" t="s">
        <v>19</v>
      </c>
      <c r="K713" s="19" t="s">
        <v>19</v>
      </c>
      <c r="L713" s="19" t="s">
        <v>18</v>
      </c>
      <c r="M713" s="19" t="s">
        <v>19</v>
      </c>
      <c r="N713" s="19" t="s">
        <v>19</v>
      </c>
      <c r="O713" s="19" t="s">
        <v>19</v>
      </c>
      <c r="P713" s="19">
        <v>103.295833</v>
      </c>
      <c r="Q713" s="19">
        <v>3.8416670000000002</v>
      </c>
      <c r="R713" s="19"/>
      <c r="S713" s="19" t="s">
        <v>20</v>
      </c>
    </row>
    <row r="714" spans="1:19" hidden="1" x14ac:dyDescent="0.25">
      <c r="A714" s="28">
        <v>3833002</v>
      </c>
      <c r="B714" s="15" t="s">
        <v>1634</v>
      </c>
      <c r="C714" s="19" t="s">
        <v>12</v>
      </c>
      <c r="D714" s="21" t="s">
        <v>1363</v>
      </c>
      <c r="E714" s="19" t="s">
        <v>1585</v>
      </c>
      <c r="F714" s="19" t="s">
        <v>1631</v>
      </c>
      <c r="G714" s="19" t="s">
        <v>1629</v>
      </c>
      <c r="H714" s="19" t="s">
        <v>1438</v>
      </c>
      <c r="I714" s="19"/>
      <c r="J714" s="19" t="s">
        <v>18</v>
      </c>
      <c r="K714" s="19" t="s">
        <v>18</v>
      </c>
      <c r="L714" s="19" t="s">
        <v>19</v>
      </c>
      <c r="M714" s="19" t="s">
        <v>19</v>
      </c>
      <c r="N714" s="19" t="s">
        <v>18</v>
      </c>
      <c r="O714" s="19" t="s">
        <v>19</v>
      </c>
      <c r="P714" s="19">
        <v>103.329167</v>
      </c>
      <c r="Q714" s="19">
        <v>3.8083330000000002</v>
      </c>
      <c r="R714" s="19"/>
      <c r="S714" s="19" t="s">
        <v>41</v>
      </c>
    </row>
    <row r="715" spans="1:19" hidden="1" x14ac:dyDescent="0.25">
      <c r="A715" s="28">
        <v>3833002</v>
      </c>
      <c r="B715" s="15" t="s">
        <v>1635</v>
      </c>
      <c r="C715" s="19" t="s">
        <v>12</v>
      </c>
      <c r="D715" s="21" t="s">
        <v>1363</v>
      </c>
      <c r="E715" s="19" t="s">
        <v>1585</v>
      </c>
      <c r="F715" s="19" t="s">
        <v>1631</v>
      </c>
      <c r="G715" s="19" t="s">
        <v>1629</v>
      </c>
      <c r="H715" s="19"/>
      <c r="I715" s="19"/>
      <c r="J715" s="19" t="s">
        <v>19</v>
      </c>
      <c r="K715" s="19" t="s">
        <v>18</v>
      </c>
      <c r="L715" s="19" t="s">
        <v>19</v>
      </c>
      <c r="M715" s="19" t="s">
        <v>18</v>
      </c>
      <c r="N715" s="19" t="s">
        <v>19</v>
      </c>
      <c r="O715" s="19" t="s">
        <v>19</v>
      </c>
      <c r="P715" s="19">
        <v>103.32</v>
      </c>
      <c r="Q715" s="19">
        <v>3.8</v>
      </c>
      <c r="R715" s="19"/>
      <c r="S715" s="19"/>
    </row>
    <row r="716" spans="1:19" hidden="1" x14ac:dyDescent="0.25">
      <c r="A716" s="28">
        <v>3833004</v>
      </c>
      <c r="B716" s="15" t="s">
        <v>1636</v>
      </c>
      <c r="C716" s="19" t="s">
        <v>12</v>
      </c>
      <c r="D716" s="21" t="s">
        <v>1363</v>
      </c>
      <c r="E716" s="19" t="s">
        <v>1585</v>
      </c>
      <c r="F716" s="19" t="s">
        <v>1637</v>
      </c>
      <c r="G716" s="19" t="s">
        <v>1638</v>
      </c>
      <c r="H716" s="19" t="s">
        <v>1639</v>
      </c>
      <c r="I716" s="19"/>
      <c r="J716" s="19" t="s">
        <v>18</v>
      </c>
      <c r="K716" s="19" t="s">
        <v>18</v>
      </c>
      <c r="L716" s="19" t="s">
        <v>18</v>
      </c>
      <c r="M716" s="19" t="s">
        <v>19</v>
      </c>
      <c r="N716" s="19" t="s">
        <v>18</v>
      </c>
      <c r="O716" s="19" t="s">
        <v>19</v>
      </c>
      <c r="P716" s="19">
        <v>103.38333299999999</v>
      </c>
      <c r="Q716" s="19">
        <v>3.894444</v>
      </c>
      <c r="R716" s="19"/>
      <c r="S716" s="19" t="s">
        <v>20</v>
      </c>
    </row>
    <row r="717" spans="1:19" hidden="1" x14ac:dyDescent="0.25">
      <c r="A717" s="28">
        <v>3833017</v>
      </c>
      <c r="B717" s="15" t="s">
        <v>1640</v>
      </c>
      <c r="C717" s="19" t="s">
        <v>12</v>
      </c>
      <c r="D717" s="21" t="s">
        <v>1363</v>
      </c>
      <c r="E717" s="19" t="s">
        <v>1585</v>
      </c>
      <c r="F717" s="19" t="s">
        <v>1631</v>
      </c>
      <c r="G717" s="19" t="s">
        <v>1585</v>
      </c>
      <c r="H717" s="19" t="s">
        <v>1641</v>
      </c>
      <c r="I717" s="19" t="s">
        <v>774</v>
      </c>
      <c r="J717" s="19" t="s">
        <v>19</v>
      </c>
      <c r="K717" s="19" t="s">
        <v>19</v>
      </c>
      <c r="L717" s="19" t="s">
        <v>18</v>
      </c>
      <c r="M717" s="19" t="s">
        <v>19</v>
      </c>
      <c r="N717" s="19" t="s">
        <v>19</v>
      </c>
      <c r="O717" s="19" t="s">
        <v>19</v>
      </c>
      <c r="P717" s="19">
        <v>103.302778</v>
      </c>
      <c r="Q717" s="19">
        <v>3.8305560000000001</v>
      </c>
      <c r="R717" s="19"/>
      <c r="S717" s="19" t="s">
        <v>20</v>
      </c>
    </row>
    <row r="718" spans="1:19" hidden="1" x14ac:dyDescent="0.25">
      <c r="A718" s="28">
        <v>3833022</v>
      </c>
      <c r="B718" s="15" t="s">
        <v>1642</v>
      </c>
      <c r="C718" s="19" t="s">
        <v>12</v>
      </c>
      <c r="D718" s="21" t="s">
        <v>1363</v>
      </c>
      <c r="E718" s="19" t="s">
        <v>1585</v>
      </c>
      <c r="F718" s="19" t="s">
        <v>1436</v>
      </c>
      <c r="G718" s="19"/>
      <c r="H718" s="19" t="s">
        <v>1643</v>
      </c>
      <c r="I718" s="19" t="s">
        <v>1644</v>
      </c>
      <c r="J718" s="19" t="s">
        <v>19</v>
      </c>
      <c r="K718" s="19" t="s">
        <v>19</v>
      </c>
      <c r="L718" s="19" t="s">
        <v>19</v>
      </c>
      <c r="M718" s="19" t="s">
        <v>19</v>
      </c>
      <c r="N718" s="19" t="s">
        <v>18</v>
      </c>
      <c r="O718" s="19" t="s">
        <v>19</v>
      </c>
      <c r="P718" s="19">
        <v>103.327778</v>
      </c>
      <c r="Q718" s="19">
        <v>3.8152780000000002</v>
      </c>
      <c r="R718" s="19"/>
      <c r="S718" s="19" t="s">
        <v>41</v>
      </c>
    </row>
    <row r="719" spans="1:19" x14ac:dyDescent="0.25">
      <c r="A719" s="28">
        <v>3901001</v>
      </c>
      <c r="B719" s="15" t="s">
        <v>660</v>
      </c>
      <c r="C719" s="19" t="s">
        <v>12</v>
      </c>
      <c r="D719" s="21" t="s">
        <v>633</v>
      </c>
      <c r="E719" s="19" t="s">
        <v>647</v>
      </c>
      <c r="F719" s="19"/>
      <c r="G719" s="19"/>
      <c r="H719" s="19"/>
      <c r="I719" s="19"/>
      <c r="J719" s="19" t="s">
        <v>19</v>
      </c>
      <c r="K719" s="19" t="s">
        <v>18</v>
      </c>
      <c r="L719" s="19" t="s">
        <v>19</v>
      </c>
      <c r="M719" s="19" t="s">
        <v>18</v>
      </c>
      <c r="N719" s="19" t="s">
        <v>19</v>
      </c>
      <c r="O719" s="19" t="s">
        <v>19</v>
      </c>
      <c r="P719" s="19">
        <v>101</v>
      </c>
      <c r="Q719" s="19">
        <v>3.99</v>
      </c>
      <c r="R719" s="19"/>
      <c r="S719" s="19"/>
    </row>
    <row r="720" spans="1:19" x14ac:dyDescent="0.25">
      <c r="A720" s="28">
        <v>3907103</v>
      </c>
      <c r="B720" s="15" t="s">
        <v>661</v>
      </c>
      <c r="C720" s="19" t="s">
        <v>12</v>
      </c>
      <c r="D720" s="21" t="s">
        <v>633</v>
      </c>
      <c r="E720" s="19" t="s">
        <v>647</v>
      </c>
      <c r="F720" s="19" t="s">
        <v>648</v>
      </c>
      <c r="G720" s="19" t="s">
        <v>648</v>
      </c>
      <c r="H720" s="19" t="s">
        <v>662</v>
      </c>
      <c r="I720" s="19"/>
      <c r="J720" s="19" t="s">
        <v>18</v>
      </c>
      <c r="K720" s="19" t="s">
        <v>18</v>
      </c>
      <c r="L720" s="19" t="s">
        <v>18</v>
      </c>
      <c r="M720" s="19" t="s">
        <v>19</v>
      </c>
      <c r="N720" s="19" t="s">
        <v>19</v>
      </c>
      <c r="O720" s="19" t="s">
        <v>19</v>
      </c>
      <c r="P720" s="19">
        <v>100.791667</v>
      </c>
      <c r="Q720" s="19">
        <v>3.9819439999999999</v>
      </c>
      <c r="R720" s="19"/>
      <c r="S720" s="19" t="s">
        <v>41</v>
      </c>
    </row>
    <row r="721" spans="1:19" x14ac:dyDescent="0.25">
      <c r="A721" s="28">
        <v>3907104</v>
      </c>
      <c r="B721" s="15" t="s">
        <v>663</v>
      </c>
      <c r="C721" s="19" t="s">
        <v>12</v>
      </c>
      <c r="D721" s="21" t="s">
        <v>633</v>
      </c>
      <c r="E721" s="19" t="s">
        <v>647</v>
      </c>
      <c r="F721" s="19" t="s">
        <v>664</v>
      </c>
      <c r="G721" s="19"/>
      <c r="H721" s="19"/>
      <c r="I721" s="19"/>
      <c r="J721" s="19" t="s">
        <v>19</v>
      </c>
      <c r="K721" s="19" t="s">
        <v>18</v>
      </c>
      <c r="L721" s="19" t="s">
        <v>19</v>
      </c>
      <c r="M721" s="19" t="s">
        <v>18</v>
      </c>
      <c r="N721" s="19" t="s">
        <v>19</v>
      </c>
      <c r="O721" s="19" t="s">
        <v>19</v>
      </c>
      <c r="P721" s="19">
        <v>100.765469</v>
      </c>
      <c r="Q721" s="19">
        <v>3.9881579999999999</v>
      </c>
      <c r="R721" s="19"/>
      <c r="S721" s="19"/>
    </row>
    <row r="722" spans="1:19" x14ac:dyDescent="0.25">
      <c r="A722" s="28">
        <v>3908101</v>
      </c>
      <c r="B722" s="15" t="s">
        <v>665</v>
      </c>
      <c r="C722" s="19" t="s">
        <v>12</v>
      </c>
      <c r="D722" s="21" t="s">
        <v>633</v>
      </c>
      <c r="E722" s="19" t="s">
        <v>647</v>
      </c>
      <c r="F722" s="19" t="s">
        <v>648</v>
      </c>
      <c r="G722" s="19" t="s">
        <v>648</v>
      </c>
      <c r="H722" s="19" t="s">
        <v>666</v>
      </c>
      <c r="I722" s="19"/>
      <c r="J722" s="19" t="s">
        <v>18</v>
      </c>
      <c r="K722" s="19" t="s">
        <v>18</v>
      </c>
      <c r="L722" s="19" t="s">
        <v>18</v>
      </c>
      <c r="M722" s="19" t="s">
        <v>19</v>
      </c>
      <c r="N722" s="19" t="s">
        <v>19</v>
      </c>
      <c r="O722" s="19" t="s">
        <v>19</v>
      </c>
      <c r="P722" s="19">
        <v>100.868056</v>
      </c>
      <c r="Q722" s="19">
        <v>3.9416669999999998</v>
      </c>
      <c r="R722" s="19"/>
      <c r="S722" s="19" t="s">
        <v>20</v>
      </c>
    </row>
    <row r="723" spans="1:19" x14ac:dyDescent="0.25">
      <c r="A723" s="28">
        <v>3909100</v>
      </c>
      <c r="B723" s="15" t="s">
        <v>667</v>
      </c>
      <c r="C723" s="19" t="s">
        <v>12</v>
      </c>
      <c r="D723" s="21" t="s">
        <v>633</v>
      </c>
      <c r="E723" s="19" t="s">
        <v>647</v>
      </c>
      <c r="F723" s="19" t="s">
        <v>648</v>
      </c>
      <c r="G723" s="19" t="s">
        <v>648</v>
      </c>
      <c r="H723" s="19" t="s">
        <v>142</v>
      </c>
      <c r="I723" s="19"/>
      <c r="J723" s="19" t="s">
        <v>18</v>
      </c>
      <c r="K723" s="19" t="s">
        <v>18</v>
      </c>
      <c r="L723" s="19" t="s">
        <v>18</v>
      </c>
      <c r="M723" s="19" t="s">
        <v>19</v>
      </c>
      <c r="N723" s="19" t="s">
        <v>19</v>
      </c>
      <c r="O723" s="19" t="s">
        <v>19</v>
      </c>
      <c r="P723" s="19">
        <v>100.98611099999999</v>
      </c>
      <c r="Q723" s="19">
        <v>3.9624999999999999</v>
      </c>
      <c r="R723" s="19"/>
      <c r="S723" s="19" t="s">
        <v>20</v>
      </c>
    </row>
    <row r="724" spans="1:19" x14ac:dyDescent="0.25">
      <c r="A724" s="28">
        <v>3909104</v>
      </c>
      <c r="B724" s="15" t="s">
        <v>668</v>
      </c>
      <c r="C724" s="19" t="s">
        <v>12</v>
      </c>
      <c r="D724" s="21" t="s">
        <v>633</v>
      </c>
      <c r="E724" s="19" t="s">
        <v>647</v>
      </c>
      <c r="F724" s="19" t="s">
        <v>669</v>
      </c>
      <c r="G724" s="19" t="s">
        <v>648</v>
      </c>
      <c r="H724" s="19" t="s">
        <v>595</v>
      </c>
      <c r="I724" s="19"/>
      <c r="J724" s="19" t="s">
        <v>18</v>
      </c>
      <c r="K724" s="19" t="s">
        <v>18</v>
      </c>
      <c r="L724" s="19" t="s">
        <v>18</v>
      </c>
      <c r="M724" s="19" t="s">
        <v>19</v>
      </c>
      <c r="N724" s="19" t="s">
        <v>19</v>
      </c>
      <c r="O724" s="19" t="s">
        <v>19</v>
      </c>
      <c r="P724" s="19">
        <v>100.96388899999999</v>
      </c>
      <c r="Q724" s="19">
        <v>3.911111</v>
      </c>
      <c r="R724" s="19"/>
      <c r="S724" s="19" t="s">
        <v>20</v>
      </c>
    </row>
    <row r="725" spans="1:19" x14ac:dyDescent="0.25">
      <c r="A725" s="28">
        <v>3910099</v>
      </c>
      <c r="B725" s="15" t="s">
        <v>670</v>
      </c>
      <c r="C725" s="19" t="s">
        <v>12</v>
      </c>
      <c r="D725" s="21" t="s">
        <v>633</v>
      </c>
      <c r="E725" s="19" t="s">
        <v>634</v>
      </c>
      <c r="F725" s="19" t="s">
        <v>648</v>
      </c>
      <c r="G725" s="19" t="s">
        <v>648</v>
      </c>
      <c r="H725" s="19" t="s">
        <v>142</v>
      </c>
      <c r="I725" s="19" t="s">
        <v>671</v>
      </c>
      <c r="J725" s="19" t="s">
        <v>19</v>
      </c>
      <c r="K725" s="19" t="s">
        <v>19</v>
      </c>
      <c r="L725" s="19" t="s">
        <v>18</v>
      </c>
      <c r="M725" s="19" t="s">
        <v>19</v>
      </c>
      <c r="N725" s="19" t="s">
        <v>19</v>
      </c>
      <c r="O725" s="19" t="s">
        <v>19</v>
      </c>
      <c r="P725" s="19">
        <v>101.0125</v>
      </c>
      <c r="Q725" s="19">
        <v>3.9861110000000002</v>
      </c>
      <c r="R725" s="19"/>
      <c r="S725" s="19" t="s">
        <v>20</v>
      </c>
    </row>
    <row r="726" spans="1:19" x14ac:dyDescent="0.25">
      <c r="A726" s="28">
        <v>3911149</v>
      </c>
      <c r="B726" s="15" t="s">
        <v>672</v>
      </c>
      <c r="C726" s="19" t="s">
        <v>12</v>
      </c>
      <c r="D726" s="21" t="s">
        <v>633</v>
      </c>
      <c r="E726" s="19" t="s">
        <v>647</v>
      </c>
      <c r="F726" s="19" t="s">
        <v>673</v>
      </c>
      <c r="G726" s="19" t="s">
        <v>648</v>
      </c>
      <c r="H726" s="19" t="s">
        <v>46</v>
      </c>
      <c r="I726" s="19"/>
      <c r="J726" s="19" t="s">
        <v>18</v>
      </c>
      <c r="K726" s="19" t="s">
        <v>19</v>
      </c>
      <c r="L726" s="19" t="s">
        <v>18</v>
      </c>
      <c r="M726" s="19" t="s">
        <v>19</v>
      </c>
      <c r="N726" s="19" t="s">
        <v>19</v>
      </c>
      <c r="O726" s="19" t="s">
        <v>19</v>
      </c>
      <c r="P726" s="19">
        <v>101.12777800000001</v>
      </c>
      <c r="Q726" s="19">
        <v>3.9944440000000001</v>
      </c>
      <c r="R726" s="19"/>
      <c r="S726" s="19" t="s">
        <v>20</v>
      </c>
    </row>
    <row r="727" spans="1:19" x14ac:dyDescent="0.25">
      <c r="A727" s="28">
        <v>3913145</v>
      </c>
      <c r="B727" s="15" t="s">
        <v>674</v>
      </c>
      <c r="C727" s="19" t="s">
        <v>12</v>
      </c>
      <c r="D727" s="21" t="s">
        <v>633</v>
      </c>
      <c r="E727" s="19" t="s">
        <v>634</v>
      </c>
      <c r="F727" s="19" t="s">
        <v>675</v>
      </c>
      <c r="G727" s="19" t="s">
        <v>648</v>
      </c>
      <c r="H727" s="19" t="s">
        <v>410</v>
      </c>
      <c r="I727" s="19" t="s">
        <v>676</v>
      </c>
      <c r="J727" s="19" t="s">
        <v>19</v>
      </c>
      <c r="K727" s="19" t="s">
        <v>19</v>
      </c>
      <c r="L727" s="19" t="s">
        <v>18</v>
      </c>
      <c r="M727" s="19" t="s">
        <v>19</v>
      </c>
      <c r="N727" s="19" t="s">
        <v>19</v>
      </c>
      <c r="O727" s="19" t="s">
        <v>19</v>
      </c>
      <c r="P727" s="19">
        <v>101.384722</v>
      </c>
      <c r="Q727" s="19">
        <v>3.9958330000000002</v>
      </c>
      <c r="R727" s="19"/>
      <c r="S727" s="19" t="s">
        <v>421</v>
      </c>
    </row>
    <row r="728" spans="1:19" x14ac:dyDescent="0.25">
      <c r="A728" s="28">
        <v>3913146</v>
      </c>
      <c r="B728" s="15" t="s">
        <v>677</v>
      </c>
      <c r="C728" s="19" t="s">
        <v>12</v>
      </c>
      <c r="D728" s="21" t="s">
        <v>633</v>
      </c>
      <c r="E728" s="19" t="s">
        <v>634</v>
      </c>
      <c r="F728" s="19" t="s">
        <v>678</v>
      </c>
      <c r="G728" s="19" t="s">
        <v>673</v>
      </c>
      <c r="H728" s="19" t="s">
        <v>142</v>
      </c>
      <c r="I728" s="19"/>
      <c r="J728" s="19" t="s">
        <v>18</v>
      </c>
      <c r="K728" s="19" t="s">
        <v>18</v>
      </c>
      <c r="L728" s="19" t="s">
        <v>18</v>
      </c>
      <c r="M728" s="19" t="s">
        <v>19</v>
      </c>
      <c r="N728" s="19" t="s">
        <v>18</v>
      </c>
      <c r="O728" s="19" t="s">
        <v>19</v>
      </c>
      <c r="P728" s="19">
        <v>101.322222</v>
      </c>
      <c r="Q728" s="19">
        <v>3.9624999999999999</v>
      </c>
      <c r="R728" s="19"/>
      <c r="S728" s="19" t="s">
        <v>20</v>
      </c>
    </row>
    <row r="729" spans="1:19" x14ac:dyDescent="0.25">
      <c r="A729" s="28">
        <v>3913147</v>
      </c>
      <c r="B729" s="15" t="s">
        <v>679</v>
      </c>
      <c r="C729" s="19" t="s">
        <v>12</v>
      </c>
      <c r="D729" s="21" t="s">
        <v>633</v>
      </c>
      <c r="E729" s="19" t="s">
        <v>634</v>
      </c>
      <c r="F729" s="19" t="s">
        <v>678</v>
      </c>
      <c r="G729" s="19" t="s">
        <v>673</v>
      </c>
      <c r="H729" s="19" t="s">
        <v>267</v>
      </c>
      <c r="I729" s="19"/>
      <c r="J729" s="19" t="s">
        <v>18</v>
      </c>
      <c r="K729" s="19" t="s">
        <v>18</v>
      </c>
      <c r="L729" s="19" t="s">
        <v>18</v>
      </c>
      <c r="M729" s="19" t="s">
        <v>19</v>
      </c>
      <c r="N729" s="19" t="s">
        <v>19</v>
      </c>
      <c r="O729" s="19" t="s">
        <v>19</v>
      </c>
      <c r="P729" s="19">
        <v>101.3</v>
      </c>
      <c r="Q729" s="19">
        <v>3.9708329999999998</v>
      </c>
      <c r="R729" s="19"/>
      <c r="S729" s="19" t="s">
        <v>20</v>
      </c>
    </row>
    <row r="730" spans="1:19" hidden="1" x14ac:dyDescent="0.25">
      <c r="A730" s="28">
        <v>3917050</v>
      </c>
      <c r="B730" s="15" t="s">
        <v>1645</v>
      </c>
      <c r="C730" s="19" t="s">
        <v>12</v>
      </c>
      <c r="D730" s="21" t="s">
        <v>1363</v>
      </c>
      <c r="E730" s="19" t="s">
        <v>1552</v>
      </c>
      <c r="F730" s="19" t="s">
        <v>1613</v>
      </c>
      <c r="G730" s="19" t="s">
        <v>1363</v>
      </c>
      <c r="H730" s="19" t="s">
        <v>1646</v>
      </c>
      <c r="I730" s="19"/>
      <c r="J730" s="19" t="s">
        <v>18</v>
      </c>
      <c r="K730" s="19" t="s">
        <v>18</v>
      </c>
      <c r="L730" s="19" t="s">
        <v>18</v>
      </c>
      <c r="M730" s="19" t="s">
        <v>19</v>
      </c>
      <c r="N730" s="19" t="s">
        <v>19</v>
      </c>
      <c r="O730" s="19" t="s">
        <v>19</v>
      </c>
      <c r="P730" s="19">
        <v>101.780556</v>
      </c>
      <c r="Q730" s="19">
        <v>3.9666670000000002</v>
      </c>
      <c r="R730" s="19"/>
      <c r="S730" s="19" t="s">
        <v>41</v>
      </c>
    </row>
    <row r="731" spans="1:19" hidden="1" x14ac:dyDescent="0.25">
      <c r="A731" s="28">
        <v>3918053</v>
      </c>
      <c r="B731" s="15" t="s">
        <v>1647</v>
      </c>
      <c r="C731" s="19" t="s">
        <v>12</v>
      </c>
      <c r="D731" s="21" t="s">
        <v>1363</v>
      </c>
      <c r="E731" s="19" t="s">
        <v>1552</v>
      </c>
      <c r="F731" s="19" t="s">
        <v>1613</v>
      </c>
      <c r="G731" s="19" t="s">
        <v>1363</v>
      </c>
      <c r="H731" s="19" t="s">
        <v>1525</v>
      </c>
      <c r="I731" s="19"/>
      <c r="J731" s="19" t="s">
        <v>18</v>
      </c>
      <c r="K731" s="19" t="s">
        <v>18</v>
      </c>
      <c r="L731" s="19" t="s">
        <v>18</v>
      </c>
      <c r="M731" s="19" t="s">
        <v>19</v>
      </c>
      <c r="N731" s="19" t="s">
        <v>19</v>
      </c>
      <c r="O731" s="19" t="s">
        <v>19</v>
      </c>
      <c r="P731" s="19">
        <v>101.816667</v>
      </c>
      <c r="Q731" s="19">
        <v>3.9041670000000002</v>
      </c>
      <c r="R731" s="19"/>
      <c r="S731" s="19" t="s">
        <v>41</v>
      </c>
    </row>
    <row r="732" spans="1:19" hidden="1" x14ac:dyDescent="0.25">
      <c r="A732" s="28">
        <v>3918059</v>
      </c>
      <c r="B732" s="15" t="s">
        <v>1648</v>
      </c>
      <c r="C732" s="19" t="s">
        <v>12</v>
      </c>
      <c r="D732" s="21" t="s">
        <v>1363</v>
      </c>
      <c r="E732" s="19" t="s">
        <v>1552</v>
      </c>
      <c r="F732" s="19" t="s">
        <v>1613</v>
      </c>
      <c r="G732" s="19" t="s">
        <v>1363</v>
      </c>
      <c r="H732" s="19" t="s">
        <v>1649</v>
      </c>
      <c r="I732" s="19"/>
      <c r="J732" s="19" t="s">
        <v>18</v>
      </c>
      <c r="K732" s="19" t="s">
        <v>18</v>
      </c>
      <c r="L732" s="19" t="s">
        <v>18</v>
      </c>
      <c r="M732" s="19" t="s">
        <v>19</v>
      </c>
      <c r="N732" s="19" t="s">
        <v>19</v>
      </c>
      <c r="O732" s="19" t="s">
        <v>19</v>
      </c>
      <c r="P732" s="19">
        <v>101.89444399999999</v>
      </c>
      <c r="Q732" s="19">
        <v>3.9055559999999998</v>
      </c>
      <c r="R732" s="19"/>
      <c r="S732" s="19" t="s">
        <v>41</v>
      </c>
    </row>
    <row r="733" spans="1:19" hidden="1" x14ac:dyDescent="0.25">
      <c r="A733" s="28">
        <v>3918060</v>
      </c>
      <c r="B733" s="15" t="s">
        <v>1650</v>
      </c>
      <c r="C733" s="19" t="s">
        <v>12</v>
      </c>
      <c r="D733" s="21" t="s">
        <v>1363</v>
      </c>
      <c r="E733" s="19" t="s">
        <v>1552</v>
      </c>
      <c r="F733" s="19" t="s">
        <v>1613</v>
      </c>
      <c r="G733" s="19" t="s">
        <v>1363</v>
      </c>
      <c r="H733" s="19" t="s">
        <v>1651</v>
      </c>
      <c r="I733" s="19"/>
      <c r="J733" s="19" t="s">
        <v>18</v>
      </c>
      <c r="K733" s="19" t="s">
        <v>18</v>
      </c>
      <c r="L733" s="19" t="s">
        <v>18</v>
      </c>
      <c r="M733" s="19" t="s">
        <v>19</v>
      </c>
      <c r="N733" s="19" t="s">
        <v>19</v>
      </c>
      <c r="O733" s="19" t="s">
        <v>19</v>
      </c>
      <c r="P733" s="19">
        <v>101.9</v>
      </c>
      <c r="Q733" s="19">
        <v>3.9708329999999998</v>
      </c>
      <c r="R733" s="19"/>
      <c r="S733" s="19" t="s">
        <v>41</v>
      </c>
    </row>
    <row r="734" spans="1:19" hidden="1" x14ac:dyDescent="0.25">
      <c r="A734" s="28">
        <v>3920058</v>
      </c>
      <c r="B734" s="15" t="s">
        <v>1652</v>
      </c>
      <c r="C734" s="19" t="s">
        <v>12</v>
      </c>
      <c r="D734" s="21" t="s">
        <v>1363</v>
      </c>
      <c r="E734" s="19" t="s">
        <v>1552</v>
      </c>
      <c r="F734" s="19" t="s">
        <v>1613</v>
      </c>
      <c r="G734" s="19" t="s">
        <v>1363</v>
      </c>
      <c r="H734" s="19" t="s">
        <v>837</v>
      </c>
      <c r="I734" s="19"/>
      <c r="J734" s="19" t="s">
        <v>19</v>
      </c>
      <c r="K734" s="19" t="s">
        <v>19</v>
      </c>
      <c r="L734" s="19" t="s">
        <v>18</v>
      </c>
      <c r="M734" s="19" t="s">
        <v>19</v>
      </c>
      <c r="N734" s="19" t="s">
        <v>19</v>
      </c>
      <c r="O734" s="19" t="s">
        <v>19</v>
      </c>
      <c r="P734" s="19">
        <v>102.016667</v>
      </c>
      <c r="Q734" s="19">
        <v>3.9416669999999998</v>
      </c>
      <c r="R734" s="19"/>
      <c r="S734" s="19" t="s">
        <v>41</v>
      </c>
    </row>
    <row r="735" spans="1:19" hidden="1" x14ac:dyDescent="0.25">
      <c r="A735" s="28">
        <v>3921068</v>
      </c>
      <c r="B735" s="15" t="s">
        <v>1653</v>
      </c>
      <c r="C735" s="19" t="s">
        <v>12</v>
      </c>
      <c r="D735" s="21" t="s">
        <v>1363</v>
      </c>
      <c r="E735" s="19" t="s">
        <v>1573</v>
      </c>
      <c r="F735" s="19"/>
      <c r="G735" s="19" t="s">
        <v>1363</v>
      </c>
      <c r="H735" s="19" t="s">
        <v>1537</v>
      </c>
      <c r="I735" s="19"/>
      <c r="J735" s="19" t="s">
        <v>18</v>
      </c>
      <c r="K735" s="19" t="s">
        <v>18</v>
      </c>
      <c r="L735" s="19" t="s">
        <v>18</v>
      </c>
      <c r="M735" s="19" t="s">
        <v>19</v>
      </c>
      <c r="N735" s="19" t="s">
        <v>19</v>
      </c>
      <c r="O735" s="19" t="s">
        <v>19</v>
      </c>
      <c r="P735" s="19">
        <v>102.17361099999999</v>
      </c>
      <c r="Q735" s="19">
        <v>3.9777779999999998</v>
      </c>
      <c r="R735" s="19"/>
      <c r="S735" s="19" t="s">
        <v>164</v>
      </c>
    </row>
    <row r="736" spans="1:19" hidden="1" x14ac:dyDescent="0.25">
      <c r="A736" s="28">
        <v>3922069</v>
      </c>
      <c r="B736" s="15" t="s">
        <v>1654</v>
      </c>
      <c r="C736" s="19" t="s">
        <v>12</v>
      </c>
      <c r="D736" s="21" t="s">
        <v>1363</v>
      </c>
      <c r="E736" s="19" t="s">
        <v>1573</v>
      </c>
      <c r="F736" s="19"/>
      <c r="G736" s="19" t="s">
        <v>1363</v>
      </c>
      <c r="H736" s="19" t="s">
        <v>1655</v>
      </c>
      <c r="I736" s="19"/>
      <c r="J736" s="19" t="s">
        <v>18</v>
      </c>
      <c r="K736" s="19" t="s">
        <v>18</v>
      </c>
      <c r="L736" s="19" t="s">
        <v>18</v>
      </c>
      <c r="M736" s="19" t="s">
        <v>19</v>
      </c>
      <c r="N736" s="19" t="s">
        <v>19</v>
      </c>
      <c r="O736" s="19" t="s">
        <v>19</v>
      </c>
      <c r="P736" s="19">
        <v>102.277778</v>
      </c>
      <c r="Q736" s="19">
        <v>3.9152779999999998</v>
      </c>
      <c r="R736" s="19"/>
      <c r="S736" s="19" t="s">
        <v>41</v>
      </c>
    </row>
    <row r="737" spans="1:19" hidden="1" x14ac:dyDescent="0.25">
      <c r="A737" s="28">
        <v>3923070</v>
      </c>
      <c r="B737" s="15" t="s">
        <v>1656</v>
      </c>
      <c r="C737" s="19" t="s">
        <v>12</v>
      </c>
      <c r="D737" s="21" t="s">
        <v>1363</v>
      </c>
      <c r="E737" s="19" t="s">
        <v>1573</v>
      </c>
      <c r="F737" s="19" t="s">
        <v>1523</v>
      </c>
      <c r="G737" s="19" t="s">
        <v>1363</v>
      </c>
      <c r="H737" s="19" t="s">
        <v>163</v>
      </c>
      <c r="I737" s="19"/>
      <c r="J737" s="19" t="s">
        <v>19</v>
      </c>
      <c r="K737" s="19" t="s">
        <v>19</v>
      </c>
      <c r="L737" s="19" t="s">
        <v>18</v>
      </c>
      <c r="M737" s="19" t="s">
        <v>19</v>
      </c>
      <c r="N737" s="19" t="s">
        <v>19</v>
      </c>
      <c r="O737" s="19" t="s">
        <v>19</v>
      </c>
      <c r="P737" s="19">
        <v>102.358333</v>
      </c>
      <c r="Q737" s="19">
        <v>3.9291670000000001</v>
      </c>
      <c r="R737" s="19"/>
      <c r="S737" s="19" t="s">
        <v>164</v>
      </c>
    </row>
    <row r="738" spans="1:19" hidden="1" x14ac:dyDescent="0.25">
      <c r="A738" s="28">
        <v>3924071</v>
      </c>
      <c r="B738" s="15" t="s">
        <v>1657</v>
      </c>
      <c r="C738" s="19" t="s">
        <v>12</v>
      </c>
      <c r="D738" s="21" t="s">
        <v>1363</v>
      </c>
      <c r="E738" s="19" t="s">
        <v>1573</v>
      </c>
      <c r="F738" s="19" t="s">
        <v>1523</v>
      </c>
      <c r="G738" s="19" t="s">
        <v>1363</v>
      </c>
      <c r="H738" s="19" t="s">
        <v>1658</v>
      </c>
      <c r="I738" s="19"/>
      <c r="J738" s="19" t="s">
        <v>18</v>
      </c>
      <c r="K738" s="19" t="s">
        <v>18</v>
      </c>
      <c r="L738" s="19" t="s">
        <v>18</v>
      </c>
      <c r="M738" s="19" t="s">
        <v>19</v>
      </c>
      <c r="N738" s="19" t="s">
        <v>18</v>
      </c>
      <c r="O738" s="19" t="s">
        <v>19</v>
      </c>
      <c r="P738" s="19">
        <v>102.427778</v>
      </c>
      <c r="Q738" s="19">
        <v>3.9624999999999999</v>
      </c>
      <c r="R738" s="19"/>
      <c r="S738" s="19" t="s">
        <v>41</v>
      </c>
    </row>
    <row r="739" spans="1:19" hidden="1" x14ac:dyDescent="0.25">
      <c r="A739" s="28">
        <v>3924072</v>
      </c>
      <c r="B739" s="15" t="s">
        <v>1659</v>
      </c>
      <c r="C739" s="19" t="s">
        <v>12</v>
      </c>
      <c r="D739" s="21" t="s">
        <v>1363</v>
      </c>
      <c r="E739" s="19" t="s">
        <v>1573</v>
      </c>
      <c r="F739" s="19" t="s">
        <v>1523</v>
      </c>
      <c r="G739" s="19" t="s">
        <v>1363</v>
      </c>
      <c r="H739" s="19" t="s">
        <v>1660</v>
      </c>
      <c r="I739" s="19"/>
      <c r="J739" s="19" t="s">
        <v>18</v>
      </c>
      <c r="K739" s="19" t="s">
        <v>18</v>
      </c>
      <c r="L739" s="19" t="s">
        <v>19</v>
      </c>
      <c r="M739" s="19" t="s">
        <v>19</v>
      </c>
      <c r="N739" s="19" t="s">
        <v>18</v>
      </c>
      <c r="O739" s="19" t="s">
        <v>19</v>
      </c>
      <c r="P739" s="19">
        <v>102.433333</v>
      </c>
      <c r="Q739" s="19">
        <v>3.9041670000000002</v>
      </c>
      <c r="R739" s="19"/>
      <c r="S739" s="19" t="s">
        <v>41</v>
      </c>
    </row>
    <row r="740" spans="1:19" hidden="1" x14ac:dyDescent="0.25">
      <c r="A740" s="28">
        <v>3925001</v>
      </c>
      <c r="B740" s="15" t="s">
        <v>1661</v>
      </c>
      <c r="C740" s="19" t="s">
        <v>12</v>
      </c>
      <c r="D740" s="21" t="s">
        <v>1363</v>
      </c>
      <c r="E740" s="19" t="s">
        <v>1573</v>
      </c>
      <c r="F740" s="19" t="s">
        <v>1626</v>
      </c>
      <c r="G740" s="19" t="s">
        <v>1363</v>
      </c>
      <c r="H740" s="19" t="s">
        <v>1242</v>
      </c>
      <c r="I740" s="19"/>
      <c r="J740" s="19" t="s">
        <v>19</v>
      </c>
      <c r="K740" s="19" t="s">
        <v>19</v>
      </c>
      <c r="L740" s="19" t="s">
        <v>19</v>
      </c>
      <c r="M740" s="19" t="s">
        <v>19</v>
      </c>
      <c r="N740" s="19" t="s">
        <v>18</v>
      </c>
      <c r="O740" s="19" t="s">
        <v>19</v>
      </c>
      <c r="P740" s="19">
        <v>102.54305600000001</v>
      </c>
      <c r="Q740" s="19">
        <v>3.9069440000000002</v>
      </c>
      <c r="R740" s="19"/>
      <c r="S740" s="19" t="s">
        <v>421</v>
      </c>
    </row>
    <row r="741" spans="1:19" hidden="1" x14ac:dyDescent="0.25">
      <c r="A741" s="28">
        <v>3925002</v>
      </c>
      <c r="B741" s="15" t="s">
        <v>1662</v>
      </c>
      <c r="C741" s="19" t="s">
        <v>12</v>
      </c>
      <c r="D741" s="21" t="s">
        <v>1363</v>
      </c>
      <c r="E741" s="19" t="s">
        <v>1573</v>
      </c>
      <c r="F741" s="19" t="s">
        <v>1626</v>
      </c>
      <c r="G741" s="19" t="s">
        <v>1363</v>
      </c>
      <c r="H741" s="19" t="s">
        <v>1223</v>
      </c>
      <c r="I741" s="19"/>
      <c r="J741" s="19" t="s">
        <v>19</v>
      </c>
      <c r="K741" s="19" t="s">
        <v>19</v>
      </c>
      <c r="L741" s="19" t="s">
        <v>18</v>
      </c>
      <c r="M741" s="19" t="s">
        <v>19</v>
      </c>
      <c r="N741" s="19" t="s">
        <v>19</v>
      </c>
      <c r="O741" s="19" t="s">
        <v>19</v>
      </c>
      <c r="P741" s="19">
        <v>102.530556</v>
      </c>
      <c r="Q741" s="19">
        <v>3.901389</v>
      </c>
      <c r="R741" s="19"/>
      <c r="S741" s="19" t="s">
        <v>421</v>
      </c>
    </row>
    <row r="742" spans="1:19" hidden="1" x14ac:dyDescent="0.25">
      <c r="A742" s="28">
        <v>3925003</v>
      </c>
      <c r="B742" s="15" t="s">
        <v>1663</v>
      </c>
      <c r="C742" s="19" t="s">
        <v>12</v>
      </c>
      <c r="D742" s="21" t="s">
        <v>1363</v>
      </c>
      <c r="E742" s="19" t="s">
        <v>1573</v>
      </c>
      <c r="F742" s="19" t="s">
        <v>1626</v>
      </c>
      <c r="G742" s="19" t="s">
        <v>1363</v>
      </c>
      <c r="H742" s="19" t="s">
        <v>951</v>
      </c>
      <c r="I742" s="19"/>
      <c r="J742" s="19" t="s">
        <v>19</v>
      </c>
      <c r="K742" s="19" t="s">
        <v>19</v>
      </c>
      <c r="L742" s="19" t="s">
        <v>19</v>
      </c>
      <c r="M742" s="19" t="s">
        <v>19</v>
      </c>
      <c r="N742" s="19" t="s">
        <v>18</v>
      </c>
      <c r="O742" s="19" t="s">
        <v>19</v>
      </c>
      <c r="P742" s="19">
        <v>102.534722</v>
      </c>
      <c r="Q742" s="19">
        <v>3.911111</v>
      </c>
      <c r="R742" s="19"/>
      <c r="S742" s="19" t="s">
        <v>421</v>
      </c>
    </row>
    <row r="743" spans="1:19" hidden="1" x14ac:dyDescent="0.25">
      <c r="A743" s="28">
        <v>3925004</v>
      </c>
      <c r="B743" s="15" t="s">
        <v>1664</v>
      </c>
      <c r="C743" s="19" t="s">
        <v>12</v>
      </c>
      <c r="D743" s="21" t="s">
        <v>1363</v>
      </c>
      <c r="E743" s="19" t="s">
        <v>1573</v>
      </c>
      <c r="F743" s="19" t="s">
        <v>1626</v>
      </c>
      <c r="G743" s="19" t="s">
        <v>1363</v>
      </c>
      <c r="H743" s="19" t="s">
        <v>97</v>
      </c>
      <c r="I743" s="19"/>
      <c r="J743" s="19" t="s">
        <v>19</v>
      </c>
      <c r="K743" s="19" t="s">
        <v>19</v>
      </c>
      <c r="L743" s="19" t="s">
        <v>19</v>
      </c>
      <c r="M743" s="19" t="s">
        <v>19</v>
      </c>
      <c r="N743" s="19" t="s">
        <v>18</v>
      </c>
      <c r="O743" s="19" t="s">
        <v>19</v>
      </c>
      <c r="P743" s="19">
        <v>102.530556</v>
      </c>
      <c r="Q743" s="19">
        <v>3.918056</v>
      </c>
      <c r="R743" s="19"/>
      <c r="S743" s="19" t="s">
        <v>421</v>
      </c>
    </row>
    <row r="744" spans="1:19" hidden="1" x14ac:dyDescent="0.25">
      <c r="A744" s="28">
        <v>3930012</v>
      </c>
      <c r="B744" s="15" t="s">
        <v>1665</v>
      </c>
      <c r="C744" s="19" t="s">
        <v>12</v>
      </c>
      <c r="D744" s="21" t="s">
        <v>1363</v>
      </c>
      <c r="E744" s="19" t="s">
        <v>1585</v>
      </c>
      <c r="F744" s="19" t="s">
        <v>1666</v>
      </c>
      <c r="G744" s="19" t="s">
        <v>1629</v>
      </c>
      <c r="H744" s="19" t="s">
        <v>962</v>
      </c>
      <c r="I744" s="19"/>
      <c r="J744" s="19" t="s">
        <v>18</v>
      </c>
      <c r="K744" s="19" t="s">
        <v>18</v>
      </c>
      <c r="L744" s="19" t="s">
        <v>19</v>
      </c>
      <c r="M744" s="19" t="s">
        <v>18</v>
      </c>
      <c r="N744" s="19" t="s">
        <v>18</v>
      </c>
      <c r="O744" s="19" t="s">
        <v>19</v>
      </c>
      <c r="P744" s="19">
        <v>103.03611100000001</v>
      </c>
      <c r="Q744" s="19">
        <v>3.9166669999999999</v>
      </c>
      <c r="R744" s="19"/>
      <c r="S744" s="19" t="s">
        <v>41</v>
      </c>
    </row>
    <row r="745" spans="1:19" hidden="1" x14ac:dyDescent="0.25">
      <c r="A745" s="28">
        <v>3930013</v>
      </c>
      <c r="B745" s="15" t="s">
        <v>1667</v>
      </c>
      <c r="C745" s="19" t="s">
        <v>12</v>
      </c>
      <c r="D745" s="21" t="s">
        <v>1363</v>
      </c>
      <c r="E745" s="19" t="s">
        <v>1585</v>
      </c>
      <c r="F745" s="19" t="s">
        <v>1629</v>
      </c>
      <c r="G745" s="19" t="s">
        <v>1629</v>
      </c>
      <c r="H745" s="19"/>
      <c r="I745" s="19"/>
      <c r="J745" s="19" t="s">
        <v>19</v>
      </c>
      <c r="K745" s="19" t="s">
        <v>18</v>
      </c>
      <c r="L745" s="19" t="s">
        <v>19</v>
      </c>
      <c r="M745" s="19" t="s">
        <v>18</v>
      </c>
      <c r="N745" s="19" t="s">
        <v>19</v>
      </c>
      <c r="O745" s="19" t="s">
        <v>19</v>
      </c>
      <c r="P745" s="19">
        <v>103.05</v>
      </c>
      <c r="Q745" s="19">
        <v>3.92</v>
      </c>
      <c r="R745" s="19"/>
      <c r="S745" s="19"/>
    </row>
    <row r="746" spans="1:19" hidden="1" x14ac:dyDescent="0.25">
      <c r="A746" s="28">
        <v>3931013</v>
      </c>
      <c r="B746" s="15" t="s">
        <v>1668</v>
      </c>
      <c r="C746" s="19" t="s">
        <v>12</v>
      </c>
      <c r="D746" s="21" t="s">
        <v>1363</v>
      </c>
      <c r="E746" s="19" t="s">
        <v>1585</v>
      </c>
      <c r="F746" s="19" t="s">
        <v>1631</v>
      </c>
      <c r="G746" s="19" t="s">
        <v>1585</v>
      </c>
      <c r="H746" s="19" t="s">
        <v>475</v>
      </c>
      <c r="I746" s="19"/>
      <c r="J746" s="19" t="s">
        <v>18</v>
      </c>
      <c r="K746" s="19" t="s">
        <v>18</v>
      </c>
      <c r="L746" s="19" t="s">
        <v>18</v>
      </c>
      <c r="M746" s="19" t="s">
        <v>19</v>
      </c>
      <c r="N746" s="19" t="s">
        <v>18</v>
      </c>
      <c r="O746" s="19" t="s">
        <v>19</v>
      </c>
      <c r="P746" s="19">
        <v>103.10555600000001</v>
      </c>
      <c r="Q746" s="19">
        <v>3.9083329999999998</v>
      </c>
      <c r="R746" s="19"/>
      <c r="S746" s="19" t="s">
        <v>20</v>
      </c>
    </row>
    <row r="747" spans="1:19" hidden="1" x14ac:dyDescent="0.25">
      <c r="A747" s="28">
        <v>3931014</v>
      </c>
      <c r="B747" s="15" t="s">
        <v>1669</v>
      </c>
      <c r="C747" s="19" t="s">
        <v>12</v>
      </c>
      <c r="D747" s="21" t="s">
        <v>1363</v>
      </c>
      <c r="E747" s="19" t="s">
        <v>1585</v>
      </c>
      <c r="F747" s="19" t="s">
        <v>1631</v>
      </c>
      <c r="G747" s="19" t="s">
        <v>1585</v>
      </c>
      <c r="H747" s="19" t="s">
        <v>1670</v>
      </c>
      <c r="I747" s="19"/>
      <c r="J747" s="19" t="s">
        <v>18</v>
      </c>
      <c r="K747" s="19" t="s">
        <v>18</v>
      </c>
      <c r="L747" s="19" t="s">
        <v>18</v>
      </c>
      <c r="M747" s="19" t="s">
        <v>19</v>
      </c>
      <c r="N747" s="19" t="s">
        <v>18</v>
      </c>
      <c r="O747" s="19" t="s">
        <v>19</v>
      </c>
      <c r="P747" s="19">
        <v>103.13333299999999</v>
      </c>
      <c r="Q747" s="19">
        <v>3.9</v>
      </c>
      <c r="R747" s="19"/>
      <c r="S747" s="19" t="s">
        <v>20</v>
      </c>
    </row>
    <row r="748" spans="1:19" hidden="1" x14ac:dyDescent="0.25">
      <c r="A748" s="29">
        <v>3933001</v>
      </c>
      <c r="B748" s="25" t="s">
        <v>1864</v>
      </c>
      <c r="C748" s="26" t="s">
        <v>12</v>
      </c>
      <c r="D748" s="24" t="s">
        <v>1865</v>
      </c>
      <c r="E748" s="26" t="s">
        <v>1866</v>
      </c>
      <c r="F748" s="26" t="s">
        <v>1867</v>
      </c>
      <c r="G748" s="26" t="s">
        <v>1868</v>
      </c>
      <c r="H748" s="26" t="s">
        <v>1869</v>
      </c>
      <c r="I748" s="26"/>
      <c r="J748" s="26" t="s">
        <v>18</v>
      </c>
      <c r="K748" s="26" t="s">
        <v>18</v>
      </c>
      <c r="L748" s="26" t="s">
        <v>19</v>
      </c>
      <c r="M748" s="26" t="s">
        <v>18</v>
      </c>
      <c r="N748" s="26" t="s">
        <v>18</v>
      </c>
      <c r="O748" s="26" t="s">
        <v>19</v>
      </c>
      <c r="P748" s="26">
        <v>103.308333</v>
      </c>
      <c r="Q748" s="26">
        <v>3.918056</v>
      </c>
      <c r="R748" s="26" t="s">
        <v>41</v>
      </c>
      <c r="S748" s="26" t="s">
        <v>1870</v>
      </c>
    </row>
    <row r="749" spans="1:19" hidden="1" x14ac:dyDescent="0.25">
      <c r="A749" s="28">
        <v>3933003</v>
      </c>
      <c r="B749" s="15" t="s">
        <v>1671</v>
      </c>
      <c r="C749" s="19" t="s">
        <v>12</v>
      </c>
      <c r="D749" s="21" t="s">
        <v>1363</v>
      </c>
      <c r="E749" s="19" t="s">
        <v>1585</v>
      </c>
      <c r="F749" s="19"/>
      <c r="G749" s="19"/>
      <c r="H749" s="19" t="s">
        <v>1557</v>
      </c>
      <c r="I749" s="19"/>
      <c r="J749" s="19" t="s">
        <v>18</v>
      </c>
      <c r="K749" s="19" t="s">
        <v>18</v>
      </c>
      <c r="L749" s="19" t="s">
        <v>18</v>
      </c>
      <c r="M749" s="19" t="s">
        <v>19</v>
      </c>
      <c r="N749" s="19" t="s">
        <v>18</v>
      </c>
      <c r="O749" s="19" t="s">
        <v>19</v>
      </c>
      <c r="P749" s="19">
        <v>103.38333299999999</v>
      </c>
      <c r="Q749" s="19">
        <v>3.9444439999999998</v>
      </c>
      <c r="R749" s="19"/>
      <c r="S749" s="19" t="s">
        <v>41</v>
      </c>
    </row>
    <row r="750" spans="1:19" x14ac:dyDescent="0.25">
      <c r="A750" s="28">
        <v>4008102</v>
      </c>
      <c r="B750" s="15" t="s">
        <v>680</v>
      </c>
      <c r="C750" s="19" t="s">
        <v>12</v>
      </c>
      <c r="D750" s="21" t="s">
        <v>633</v>
      </c>
      <c r="E750" s="19" t="s">
        <v>681</v>
      </c>
      <c r="F750" s="19" t="s">
        <v>648</v>
      </c>
      <c r="G750" s="19" t="s">
        <v>648</v>
      </c>
      <c r="H750" s="19" t="s">
        <v>682</v>
      </c>
      <c r="I750" s="19"/>
      <c r="J750" s="19" t="s">
        <v>18</v>
      </c>
      <c r="K750" s="19" t="s">
        <v>18</v>
      </c>
      <c r="L750" s="19" t="s">
        <v>18</v>
      </c>
      <c r="M750" s="19" t="s">
        <v>19</v>
      </c>
      <c r="N750" s="19" t="s">
        <v>19</v>
      </c>
      <c r="O750" s="19" t="s">
        <v>19</v>
      </c>
      <c r="P750" s="19">
        <v>100.8</v>
      </c>
      <c r="Q750" s="19">
        <v>4.0541669999999996</v>
      </c>
      <c r="R750" s="19"/>
      <c r="S750" s="19" t="s">
        <v>20</v>
      </c>
    </row>
    <row r="751" spans="1:19" x14ac:dyDescent="0.25">
      <c r="A751" s="28">
        <v>4009096</v>
      </c>
      <c r="B751" s="15" t="s">
        <v>683</v>
      </c>
      <c r="C751" s="19" t="s">
        <v>12</v>
      </c>
      <c r="D751" s="21" t="s">
        <v>633</v>
      </c>
      <c r="E751" s="19" t="s">
        <v>684</v>
      </c>
      <c r="F751" s="19" t="s">
        <v>685</v>
      </c>
      <c r="G751" s="19" t="s">
        <v>648</v>
      </c>
      <c r="H751" s="19" t="s">
        <v>686</v>
      </c>
      <c r="I751" s="19"/>
      <c r="J751" s="19" t="s">
        <v>18</v>
      </c>
      <c r="K751" s="19" t="s">
        <v>18</v>
      </c>
      <c r="L751" s="19" t="s">
        <v>18</v>
      </c>
      <c r="M751" s="19" t="s">
        <v>19</v>
      </c>
      <c r="N751" s="19" t="s">
        <v>19</v>
      </c>
      <c r="O751" s="19" t="s">
        <v>19</v>
      </c>
      <c r="P751" s="19">
        <v>100.927778</v>
      </c>
      <c r="Q751" s="19">
        <v>4.0750000000000002</v>
      </c>
      <c r="R751" s="19"/>
      <c r="S751" s="19" t="s">
        <v>41</v>
      </c>
    </row>
    <row r="752" spans="1:19" x14ac:dyDescent="0.25">
      <c r="A752" s="28">
        <v>4010001</v>
      </c>
      <c r="B752" s="15" t="s">
        <v>687</v>
      </c>
      <c r="C752" s="19" t="s">
        <v>12</v>
      </c>
      <c r="D752" s="21" t="s">
        <v>633</v>
      </c>
      <c r="E752" s="19" t="s">
        <v>647</v>
      </c>
      <c r="F752" s="19" t="s">
        <v>648</v>
      </c>
      <c r="G752" s="19" t="s">
        <v>648</v>
      </c>
      <c r="H752" s="19" t="s">
        <v>688</v>
      </c>
      <c r="I752" s="19"/>
      <c r="J752" s="19" t="s">
        <v>18</v>
      </c>
      <c r="K752" s="19" t="s">
        <v>18</v>
      </c>
      <c r="L752" s="19" t="s">
        <v>18</v>
      </c>
      <c r="M752" s="19" t="s">
        <v>19</v>
      </c>
      <c r="N752" s="19" t="s">
        <v>18</v>
      </c>
      <c r="O752" s="19" t="s">
        <v>19</v>
      </c>
      <c r="P752" s="19">
        <v>101.03611100000001</v>
      </c>
      <c r="Q752" s="19">
        <v>4.016667</v>
      </c>
      <c r="R752" s="19"/>
      <c r="S752" s="19" t="s">
        <v>41</v>
      </c>
    </row>
    <row r="753" spans="1:19" x14ac:dyDescent="0.25">
      <c r="A753" s="28">
        <v>4010097</v>
      </c>
      <c r="B753" s="15" t="s">
        <v>689</v>
      </c>
      <c r="C753" s="19" t="s">
        <v>12</v>
      </c>
      <c r="D753" s="21" t="s">
        <v>633</v>
      </c>
      <c r="E753" s="19" t="s">
        <v>647</v>
      </c>
      <c r="F753" s="19" t="s">
        <v>648</v>
      </c>
      <c r="G753" s="19" t="s">
        <v>648</v>
      </c>
      <c r="H753" s="19" t="s">
        <v>46</v>
      </c>
      <c r="I753" s="19"/>
      <c r="J753" s="19" t="s">
        <v>18</v>
      </c>
      <c r="K753" s="19" t="s">
        <v>18</v>
      </c>
      <c r="L753" s="19" t="s">
        <v>18</v>
      </c>
      <c r="M753" s="19" t="s">
        <v>19</v>
      </c>
      <c r="N753" s="19" t="s">
        <v>19</v>
      </c>
      <c r="O753" s="19" t="s">
        <v>19</v>
      </c>
      <c r="P753" s="19">
        <v>101.006944</v>
      </c>
      <c r="Q753" s="19">
        <v>4.009722</v>
      </c>
      <c r="R753" s="19"/>
      <c r="S753" s="19" t="s">
        <v>20</v>
      </c>
    </row>
    <row r="754" spans="1:19" x14ac:dyDescent="0.25">
      <c r="A754" s="28">
        <v>4010098</v>
      </c>
      <c r="B754" s="15" t="s">
        <v>690</v>
      </c>
      <c r="C754" s="19" t="s">
        <v>12</v>
      </c>
      <c r="D754" s="21" t="s">
        <v>633</v>
      </c>
      <c r="E754" s="19" t="s">
        <v>647</v>
      </c>
      <c r="F754" s="19" t="s">
        <v>648</v>
      </c>
      <c r="G754" s="19" t="s">
        <v>648</v>
      </c>
      <c r="H754" s="19" t="s">
        <v>691</v>
      </c>
      <c r="I754" s="19"/>
      <c r="J754" s="19" t="s">
        <v>19</v>
      </c>
      <c r="K754" s="19" t="s">
        <v>19</v>
      </c>
      <c r="L754" s="19" t="s">
        <v>18</v>
      </c>
      <c r="M754" s="19" t="s">
        <v>19</v>
      </c>
      <c r="N754" s="19" t="s">
        <v>19</v>
      </c>
      <c r="O754" s="19" t="s">
        <v>19</v>
      </c>
      <c r="P754" s="19">
        <v>101.020833</v>
      </c>
      <c r="Q754" s="19">
        <v>4.0305559999999998</v>
      </c>
      <c r="R754" s="19"/>
      <c r="S754" s="19" t="s">
        <v>279</v>
      </c>
    </row>
    <row r="755" spans="1:19" x14ac:dyDescent="0.25">
      <c r="A755" s="28">
        <v>4010138</v>
      </c>
      <c r="B755" s="15" t="s">
        <v>692</v>
      </c>
      <c r="C755" s="19" t="s">
        <v>12</v>
      </c>
      <c r="D755" s="21" t="s">
        <v>633</v>
      </c>
      <c r="E755" s="19" t="s">
        <v>647</v>
      </c>
      <c r="F755" s="19" t="s">
        <v>693</v>
      </c>
      <c r="G755" s="19" t="s">
        <v>648</v>
      </c>
      <c r="H755" s="19" t="s">
        <v>694</v>
      </c>
      <c r="I755" s="19"/>
      <c r="J755" s="19" t="s">
        <v>18</v>
      </c>
      <c r="K755" s="19" t="s">
        <v>18</v>
      </c>
      <c r="L755" s="19" t="s">
        <v>18</v>
      </c>
      <c r="M755" s="19" t="s">
        <v>19</v>
      </c>
      <c r="N755" s="19" t="s">
        <v>19</v>
      </c>
      <c r="O755" s="19" t="s">
        <v>19</v>
      </c>
      <c r="P755" s="19">
        <v>101.077778</v>
      </c>
      <c r="Q755" s="19">
        <v>4.0583330000000002</v>
      </c>
      <c r="R755" s="19"/>
      <c r="S755" s="19" t="s">
        <v>41</v>
      </c>
    </row>
    <row r="756" spans="1:19" x14ac:dyDescent="0.25">
      <c r="A756" s="28">
        <v>4010150</v>
      </c>
      <c r="B756" s="15" t="s">
        <v>695</v>
      </c>
      <c r="C756" s="19" t="s">
        <v>12</v>
      </c>
      <c r="D756" s="21" t="s">
        <v>633</v>
      </c>
      <c r="E756" s="19" t="s">
        <v>647</v>
      </c>
      <c r="F756" s="19" t="s">
        <v>673</v>
      </c>
      <c r="G756" s="19" t="s">
        <v>648</v>
      </c>
      <c r="H756" s="19" t="s">
        <v>696</v>
      </c>
      <c r="I756" s="19" t="s">
        <v>318</v>
      </c>
      <c r="J756" s="19" t="s">
        <v>19</v>
      </c>
      <c r="K756" s="19" t="s">
        <v>19</v>
      </c>
      <c r="L756" s="19" t="s">
        <v>18</v>
      </c>
      <c r="M756" s="19" t="s">
        <v>19</v>
      </c>
      <c r="N756" s="19" t="s">
        <v>19</v>
      </c>
      <c r="O756" s="19" t="s">
        <v>19</v>
      </c>
      <c r="P756" s="19">
        <v>101.047222</v>
      </c>
      <c r="Q756" s="19">
        <v>4</v>
      </c>
      <c r="R756" s="19"/>
      <c r="S756" s="19" t="s">
        <v>20</v>
      </c>
    </row>
    <row r="757" spans="1:19" x14ac:dyDescent="0.25">
      <c r="A757" s="28">
        <v>4011139</v>
      </c>
      <c r="B757" s="15" t="s">
        <v>697</v>
      </c>
      <c r="C757" s="19" t="s">
        <v>12</v>
      </c>
      <c r="D757" s="21" t="s">
        <v>633</v>
      </c>
      <c r="E757" s="19" t="s">
        <v>647</v>
      </c>
      <c r="F757" s="19" t="s">
        <v>698</v>
      </c>
      <c r="G757" s="19" t="s">
        <v>648</v>
      </c>
      <c r="H757" s="19" t="s">
        <v>699</v>
      </c>
      <c r="I757" s="19"/>
      <c r="J757" s="19" t="s">
        <v>18</v>
      </c>
      <c r="K757" s="19" t="s">
        <v>18</v>
      </c>
      <c r="L757" s="19" t="s">
        <v>18</v>
      </c>
      <c r="M757" s="19" t="s">
        <v>19</v>
      </c>
      <c r="N757" s="19" t="s">
        <v>18</v>
      </c>
      <c r="O757" s="19" t="s">
        <v>19</v>
      </c>
      <c r="P757" s="19">
        <v>101.136111</v>
      </c>
      <c r="Q757" s="19">
        <v>4.0055560000000003</v>
      </c>
      <c r="R757" s="19"/>
      <c r="S757" s="19" t="s">
        <v>41</v>
      </c>
    </row>
    <row r="758" spans="1:19" x14ac:dyDescent="0.25">
      <c r="A758" s="28">
        <v>4011144</v>
      </c>
      <c r="B758" s="15" t="s">
        <v>700</v>
      </c>
      <c r="C758" s="19" t="s">
        <v>12</v>
      </c>
      <c r="D758" s="21" t="s">
        <v>633</v>
      </c>
      <c r="E758" s="19" t="s">
        <v>647</v>
      </c>
      <c r="F758" s="19" t="s">
        <v>701</v>
      </c>
      <c r="G758" s="19" t="s">
        <v>648</v>
      </c>
      <c r="H758" s="19" t="s">
        <v>702</v>
      </c>
      <c r="I758" s="19"/>
      <c r="J758" s="19" t="s">
        <v>18</v>
      </c>
      <c r="K758" s="19" t="s">
        <v>18</v>
      </c>
      <c r="L758" s="19" t="s">
        <v>18</v>
      </c>
      <c r="M758" s="19" t="s">
        <v>19</v>
      </c>
      <c r="N758" s="19" t="s">
        <v>18</v>
      </c>
      <c r="O758" s="19" t="s">
        <v>19</v>
      </c>
      <c r="P758" s="19">
        <v>101.172222</v>
      </c>
      <c r="Q758" s="19">
        <v>4.0472219999999997</v>
      </c>
      <c r="R758" s="19"/>
      <c r="S758" s="19" t="s">
        <v>41</v>
      </c>
    </row>
    <row r="759" spans="1:19" x14ac:dyDescent="0.25">
      <c r="A759" s="28">
        <v>4012142</v>
      </c>
      <c r="B759" s="15" t="s">
        <v>703</v>
      </c>
      <c r="C759" s="19" t="s">
        <v>12</v>
      </c>
      <c r="D759" s="21" t="s">
        <v>633</v>
      </c>
      <c r="E759" s="19" t="s">
        <v>634</v>
      </c>
      <c r="F759" s="19" t="s">
        <v>704</v>
      </c>
      <c r="G759" s="19" t="s">
        <v>673</v>
      </c>
      <c r="H759" s="19" t="s">
        <v>80</v>
      </c>
      <c r="I759" s="19"/>
      <c r="J759" s="19" t="s">
        <v>18</v>
      </c>
      <c r="K759" s="19" t="s">
        <v>18</v>
      </c>
      <c r="L759" s="19" t="s">
        <v>18</v>
      </c>
      <c r="M759" s="19" t="s">
        <v>19</v>
      </c>
      <c r="N759" s="19" t="s">
        <v>19</v>
      </c>
      <c r="O759" s="19" t="s">
        <v>19</v>
      </c>
      <c r="P759" s="19">
        <v>101.28611100000001</v>
      </c>
      <c r="Q759" s="19">
        <v>4.0875000000000004</v>
      </c>
      <c r="R759" s="19"/>
      <c r="S759" s="19" t="s">
        <v>20</v>
      </c>
    </row>
    <row r="760" spans="1:19" x14ac:dyDescent="0.25">
      <c r="A760" s="28">
        <v>4012143</v>
      </c>
      <c r="B760" s="15" t="s">
        <v>705</v>
      </c>
      <c r="C760" s="19" t="s">
        <v>12</v>
      </c>
      <c r="D760" s="21" t="s">
        <v>633</v>
      </c>
      <c r="E760" s="19" t="s">
        <v>634</v>
      </c>
      <c r="F760" s="19" t="s">
        <v>706</v>
      </c>
      <c r="G760" s="19" t="s">
        <v>673</v>
      </c>
      <c r="H760" s="19" t="s">
        <v>145</v>
      </c>
      <c r="I760" s="19"/>
      <c r="J760" s="19" t="s">
        <v>18</v>
      </c>
      <c r="K760" s="19" t="s">
        <v>18</v>
      </c>
      <c r="L760" s="19" t="s">
        <v>18</v>
      </c>
      <c r="M760" s="19" t="s">
        <v>19</v>
      </c>
      <c r="N760" s="19" t="s">
        <v>18</v>
      </c>
      <c r="O760" s="19" t="s">
        <v>19</v>
      </c>
      <c r="P760" s="19">
        <v>101.3</v>
      </c>
      <c r="Q760" s="19">
        <v>4.0486110000000002</v>
      </c>
      <c r="R760" s="19"/>
      <c r="S760" s="19" t="s">
        <v>41</v>
      </c>
    </row>
    <row r="761" spans="1:19" hidden="1" x14ac:dyDescent="0.25">
      <c r="A761" s="28">
        <v>4019001</v>
      </c>
      <c r="B761" s="15" t="s">
        <v>1672</v>
      </c>
      <c r="C761" s="19" t="s">
        <v>12</v>
      </c>
      <c r="D761" s="21" t="s">
        <v>1363</v>
      </c>
      <c r="E761" s="19" t="s">
        <v>1570</v>
      </c>
      <c r="F761" s="19" t="s">
        <v>1613</v>
      </c>
      <c r="G761" s="19" t="s">
        <v>1363</v>
      </c>
      <c r="H761" s="19" t="s">
        <v>1673</v>
      </c>
      <c r="I761" s="19"/>
      <c r="J761" s="19" t="s">
        <v>18</v>
      </c>
      <c r="K761" s="19" t="s">
        <v>18</v>
      </c>
      <c r="L761" s="19" t="s">
        <v>19</v>
      </c>
      <c r="M761" s="19" t="s">
        <v>19</v>
      </c>
      <c r="N761" s="19" t="s">
        <v>18</v>
      </c>
      <c r="O761" s="19" t="s">
        <v>19</v>
      </c>
      <c r="P761" s="19">
        <v>101.966667</v>
      </c>
      <c r="Q761" s="19">
        <v>4.0333329999999998</v>
      </c>
      <c r="R761" s="19"/>
      <c r="S761" s="19" t="s">
        <v>41</v>
      </c>
    </row>
    <row r="762" spans="1:19" hidden="1" x14ac:dyDescent="0.25">
      <c r="A762" s="28">
        <v>4019044</v>
      </c>
      <c r="B762" s="15" t="s">
        <v>1674</v>
      </c>
      <c r="C762" s="19" t="s">
        <v>12</v>
      </c>
      <c r="D762" s="21" t="s">
        <v>1363</v>
      </c>
      <c r="E762" s="19" t="s">
        <v>1552</v>
      </c>
      <c r="F762" s="19" t="s">
        <v>1613</v>
      </c>
      <c r="G762" s="19" t="s">
        <v>1363</v>
      </c>
      <c r="H762" s="19" t="s">
        <v>807</v>
      </c>
      <c r="I762" s="19"/>
      <c r="J762" s="19" t="s">
        <v>18</v>
      </c>
      <c r="K762" s="19" t="s">
        <v>18</v>
      </c>
      <c r="L762" s="19" t="s">
        <v>18</v>
      </c>
      <c r="M762" s="19" t="s">
        <v>19</v>
      </c>
      <c r="N762" s="19" t="s">
        <v>19</v>
      </c>
      <c r="O762" s="19" t="s">
        <v>19</v>
      </c>
      <c r="P762" s="19">
        <v>101.936111</v>
      </c>
      <c r="Q762" s="19">
        <v>4.0597219999999998</v>
      </c>
      <c r="R762" s="19"/>
      <c r="S762" s="19" t="s">
        <v>41</v>
      </c>
    </row>
    <row r="763" spans="1:19" hidden="1" x14ac:dyDescent="0.25">
      <c r="A763" s="28">
        <v>4019061</v>
      </c>
      <c r="B763" s="15" t="s">
        <v>1672</v>
      </c>
      <c r="C763" s="19" t="s">
        <v>12</v>
      </c>
      <c r="D763" s="21" t="s">
        <v>1363</v>
      </c>
      <c r="E763" s="19" t="s">
        <v>1570</v>
      </c>
      <c r="F763" s="19" t="s">
        <v>1675</v>
      </c>
      <c r="G763" s="19" t="s">
        <v>1363</v>
      </c>
      <c r="H763" s="19" t="s">
        <v>1676</v>
      </c>
      <c r="I763" s="19" t="s">
        <v>1673</v>
      </c>
      <c r="J763" s="19" t="s">
        <v>19</v>
      </c>
      <c r="K763" s="19" t="s">
        <v>19</v>
      </c>
      <c r="L763" s="19" t="s">
        <v>19</v>
      </c>
      <c r="M763" s="19" t="s">
        <v>19</v>
      </c>
      <c r="N763" s="19" t="s">
        <v>18</v>
      </c>
      <c r="O763" s="19" t="s">
        <v>19</v>
      </c>
      <c r="P763" s="19">
        <v>101.96388899999999</v>
      </c>
      <c r="Q763" s="19">
        <v>4.016667</v>
      </c>
      <c r="R763" s="19"/>
      <c r="S763" s="19" t="s">
        <v>164</v>
      </c>
    </row>
    <row r="764" spans="1:19" hidden="1" x14ac:dyDescent="0.25">
      <c r="A764" s="28">
        <v>4019063</v>
      </c>
      <c r="B764" s="15" t="s">
        <v>1677</v>
      </c>
      <c r="C764" s="19" t="s">
        <v>12</v>
      </c>
      <c r="D764" s="21" t="s">
        <v>1363</v>
      </c>
      <c r="E764" s="19" t="s">
        <v>1570</v>
      </c>
      <c r="F764" s="19" t="s">
        <v>1675</v>
      </c>
      <c r="G764" s="19" t="s">
        <v>1363</v>
      </c>
      <c r="H764" s="19" t="s">
        <v>1678</v>
      </c>
      <c r="I764" s="19"/>
      <c r="J764" s="19" t="s">
        <v>18</v>
      </c>
      <c r="K764" s="19" t="s">
        <v>18</v>
      </c>
      <c r="L764" s="19" t="s">
        <v>18</v>
      </c>
      <c r="M764" s="19" t="s">
        <v>19</v>
      </c>
      <c r="N764" s="19" t="s">
        <v>19</v>
      </c>
      <c r="O764" s="19" t="s">
        <v>19</v>
      </c>
      <c r="P764" s="19">
        <v>101.9875</v>
      </c>
      <c r="Q764" s="19">
        <v>4.0513890000000004</v>
      </c>
      <c r="R764" s="19"/>
      <c r="S764" s="19" t="s">
        <v>20</v>
      </c>
    </row>
    <row r="765" spans="1:19" hidden="1" x14ac:dyDescent="0.25">
      <c r="A765" s="28">
        <v>4020001</v>
      </c>
      <c r="B765" s="15" t="s">
        <v>1679</v>
      </c>
      <c r="C765" s="19" t="s">
        <v>12</v>
      </c>
      <c r="D765" s="21" t="s">
        <v>1363</v>
      </c>
      <c r="E765" s="19" t="s">
        <v>1570</v>
      </c>
      <c r="F765" s="19" t="s">
        <v>1675</v>
      </c>
      <c r="G765" s="19" t="s">
        <v>1363</v>
      </c>
      <c r="H765" s="19" t="s">
        <v>1680</v>
      </c>
      <c r="I765" s="19"/>
      <c r="J765" s="19" t="s">
        <v>18</v>
      </c>
      <c r="K765" s="19" t="s">
        <v>18</v>
      </c>
      <c r="L765" s="19" t="s">
        <v>18</v>
      </c>
      <c r="M765" s="19" t="s">
        <v>19</v>
      </c>
      <c r="N765" s="19" t="s">
        <v>19</v>
      </c>
      <c r="O765" s="19" t="s">
        <v>19</v>
      </c>
      <c r="P765" s="19">
        <v>102.03749999999999</v>
      </c>
      <c r="Q765" s="19">
        <v>4.0388890000000002</v>
      </c>
      <c r="R765" s="19"/>
      <c r="S765" s="19" t="s">
        <v>41</v>
      </c>
    </row>
    <row r="766" spans="1:19" hidden="1" x14ac:dyDescent="0.25">
      <c r="A766" s="28">
        <v>4020062</v>
      </c>
      <c r="B766" s="15" t="s">
        <v>1681</v>
      </c>
      <c r="C766" s="19" t="s">
        <v>12</v>
      </c>
      <c r="D766" s="21" t="s">
        <v>1363</v>
      </c>
      <c r="E766" s="19" t="s">
        <v>1570</v>
      </c>
      <c r="F766" s="19" t="s">
        <v>1675</v>
      </c>
      <c r="G766" s="19" t="s">
        <v>1363</v>
      </c>
      <c r="H766" s="19" t="s">
        <v>1682</v>
      </c>
      <c r="I766" s="19" t="s">
        <v>1683</v>
      </c>
      <c r="J766" s="19" t="s">
        <v>19</v>
      </c>
      <c r="K766" s="19" t="s">
        <v>19</v>
      </c>
      <c r="L766" s="19" t="s">
        <v>18</v>
      </c>
      <c r="M766" s="19" t="s">
        <v>19</v>
      </c>
      <c r="N766" s="19" t="s">
        <v>19</v>
      </c>
      <c r="O766" s="19" t="s">
        <v>19</v>
      </c>
      <c r="P766" s="19">
        <v>102</v>
      </c>
      <c r="Q766" s="19">
        <v>4.0416670000000003</v>
      </c>
      <c r="R766" s="19"/>
      <c r="S766" s="19" t="s">
        <v>20</v>
      </c>
    </row>
    <row r="767" spans="1:19" hidden="1" x14ac:dyDescent="0.25">
      <c r="A767" s="28">
        <v>4020065</v>
      </c>
      <c r="B767" s="15" t="s">
        <v>1684</v>
      </c>
      <c r="C767" s="19" t="s">
        <v>12</v>
      </c>
      <c r="D767" s="21" t="s">
        <v>1363</v>
      </c>
      <c r="E767" s="19" t="s">
        <v>1570</v>
      </c>
      <c r="F767" s="19" t="s">
        <v>1675</v>
      </c>
      <c r="G767" s="19" t="s">
        <v>1363</v>
      </c>
      <c r="H767" s="19" t="s">
        <v>1537</v>
      </c>
      <c r="I767" s="19" t="s">
        <v>1685</v>
      </c>
      <c r="J767" s="19" t="s">
        <v>19</v>
      </c>
      <c r="K767" s="19" t="s">
        <v>19</v>
      </c>
      <c r="L767" s="19" t="s">
        <v>18</v>
      </c>
      <c r="M767" s="19" t="s">
        <v>19</v>
      </c>
      <c r="N767" s="19" t="s">
        <v>19</v>
      </c>
      <c r="O767" s="19" t="s">
        <v>19</v>
      </c>
      <c r="P767" s="19">
        <v>102.125</v>
      </c>
      <c r="Q767" s="19">
        <v>4</v>
      </c>
      <c r="R767" s="19"/>
      <c r="S767" s="19" t="s">
        <v>41</v>
      </c>
    </row>
    <row r="768" spans="1:19" hidden="1" x14ac:dyDescent="0.25">
      <c r="A768" s="28">
        <v>4023001</v>
      </c>
      <c r="B768" s="15" t="s">
        <v>1686</v>
      </c>
      <c r="C768" s="19" t="s">
        <v>12</v>
      </c>
      <c r="D768" s="21" t="s">
        <v>1363</v>
      </c>
      <c r="E768" s="19" t="s">
        <v>1573</v>
      </c>
      <c r="F768" s="19" t="s">
        <v>1463</v>
      </c>
      <c r="G768" s="19" t="s">
        <v>1463</v>
      </c>
      <c r="H768" s="19" t="s">
        <v>1687</v>
      </c>
      <c r="I768" s="19"/>
      <c r="J768" s="19" t="s">
        <v>18</v>
      </c>
      <c r="K768" s="19" t="s">
        <v>18</v>
      </c>
      <c r="L768" s="19" t="s">
        <v>19</v>
      </c>
      <c r="M768" s="19" t="s">
        <v>18</v>
      </c>
      <c r="N768" s="19" t="s">
        <v>18</v>
      </c>
      <c r="O768" s="19" t="s">
        <v>19</v>
      </c>
      <c r="P768" s="19">
        <v>102.325</v>
      </c>
      <c r="Q768" s="19">
        <v>4.0319440000000002</v>
      </c>
      <c r="R768" s="19"/>
      <c r="S768" s="19" t="s">
        <v>41</v>
      </c>
    </row>
    <row r="769" spans="1:19" hidden="1" x14ac:dyDescent="0.25">
      <c r="A769" s="28">
        <v>4023117</v>
      </c>
      <c r="B769" s="15" t="s">
        <v>1688</v>
      </c>
      <c r="C769" s="19" t="s">
        <v>12</v>
      </c>
      <c r="D769" s="21" t="s">
        <v>1363</v>
      </c>
      <c r="E769" s="19" t="s">
        <v>1573</v>
      </c>
      <c r="F769" s="19" t="s">
        <v>1689</v>
      </c>
      <c r="G769" s="19" t="s">
        <v>1363</v>
      </c>
      <c r="H769" s="19" t="s">
        <v>771</v>
      </c>
      <c r="I769" s="19"/>
      <c r="J769" s="19" t="s">
        <v>19</v>
      </c>
      <c r="K769" s="19" t="s">
        <v>19</v>
      </c>
      <c r="L769" s="19" t="s">
        <v>18</v>
      </c>
      <c r="M769" s="19" t="s">
        <v>19</v>
      </c>
      <c r="N769" s="19" t="s">
        <v>19</v>
      </c>
      <c r="O769" s="19" t="s">
        <v>19</v>
      </c>
      <c r="P769" s="19">
        <v>102.319444</v>
      </c>
      <c r="Q769" s="19">
        <v>4.0694439999999998</v>
      </c>
      <c r="R769" s="19"/>
      <c r="S769" s="19" t="s">
        <v>472</v>
      </c>
    </row>
    <row r="770" spans="1:19" hidden="1" x14ac:dyDescent="0.25">
      <c r="A770" s="28">
        <v>4033001</v>
      </c>
      <c r="B770" s="15" t="s">
        <v>1690</v>
      </c>
      <c r="C770" s="19" t="s">
        <v>12</v>
      </c>
      <c r="D770" s="21" t="s">
        <v>1363</v>
      </c>
      <c r="E770" s="19" t="s">
        <v>1585</v>
      </c>
      <c r="F770" s="19" t="s">
        <v>1691</v>
      </c>
      <c r="G770" s="19" t="s">
        <v>1692</v>
      </c>
      <c r="H770" s="19" t="s">
        <v>1423</v>
      </c>
      <c r="I770" s="19"/>
      <c r="J770" s="19" t="s">
        <v>18</v>
      </c>
      <c r="K770" s="19" t="s">
        <v>18</v>
      </c>
      <c r="L770" s="19" t="s">
        <v>18</v>
      </c>
      <c r="M770" s="19" t="s">
        <v>19</v>
      </c>
      <c r="N770" s="19" t="s">
        <v>18</v>
      </c>
      <c r="O770" s="19" t="s">
        <v>19</v>
      </c>
      <c r="P770" s="19">
        <v>103.380556</v>
      </c>
      <c r="Q770" s="19">
        <v>4.0930559999999998</v>
      </c>
      <c r="R770" s="19"/>
      <c r="S770" s="19" t="s">
        <v>41</v>
      </c>
    </row>
    <row r="771" spans="1:19" hidden="1" x14ac:dyDescent="0.25">
      <c r="A771" s="28">
        <v>4033002</v>
      </c>
      <c r="B771" s="15" t="s">
        <v>1693</v>
      </c>
      <c r="C771" s="19" t="s">
        <v>12</v>
      </c>
      <c r="D771" s="21" t="s">
        <v>1363</v>
      </c>
      <c r="E771" s="19" t="s">
        <v>1585</v>
      </c>
      <c r="F771" s="19" t="s">
        <v>1691</v>
      </c>
      <c r="G771" s="19" t="s">
        <v>1692</v>
      </c>
      <c r="H771" s="19" t="s">
        <v>847</v>
      </c>
      <c r="I771" s="19"/>
      <c r="J771" s="19" t="s">
        <v>18</v>
      </c>
      <c r="K771" s="19" t="s">
        <v>18</v>
      </c>
      <c r="L771" s="19" t="s">
        <v>18</v>
      </c>
      <c r="M771" s="19" t="s">
        <v>19</v>
      </c>
      <c r="N771" s="19" t="s">
        <v>18</v>
      </c>
      <c r="O771" s="19" t="s">
        <v>19</v>
      </c>
      <c r="P771" s="19">
        <v>103.39444399999999</v>
      </c>
      <c r="Q771" s="19">
        <v>4.05</v>
      </c>
      <c r="R771" s="19"/>
      <c r="S771" s="19" t="s">
        <v>41</v>
      </c>
    </row>
    <row r="772" spans="1:19" x14ac:dyDescent="0.25">
      <c r="A772" s="28">
        <v>4106047</v>
      </c>
      <c r="B772" s="15" t="s">
        <v>707</v>
      </c>
      <c r="C772" s="19" t="s">
        <v>12</v>
      </c>
      <c r="D772" s="21" t="s">
        <v>633</v>
      </c>
      <c r="E772" s="19" t="s">
        <v>681</v>
      </c>
      <c r="F772" s="19" t="s">
        <v>708</v>
      </c>
      <c r="G772" s="19" t="s">
        <v>708</v>
      </c>
      <c r="H772" s="19" t="s">
        <v>46</v>
      </c>
      <c r="I772" s="19" t="s">
        <v>709</v>
      </c>
      <c r="J772" s="19" t="s">
        <v>19</v>
      </c>
      <c r="K772" s="19" t="s">
        <v>19</v>
      </c>
      <c r="L772" s="19" t="s">
        <v>18</v>
      </c>
      <c r="M772" s="19" t="s">
        <v>19</v>
      </c>
      <c r="N772" s="19" t="s">
        <v>19</v>
      </c>
      <c r="O772" s="19" t="s">
        <v>19</v>
      </c>
      <c r="P772" s="19">
        <v>100.63333299999999</v>
      </c>
      <c r="Q772" s="19">
        <v>4.1819439999999997</v>
      </c>
      <c r="R772" s="19"/>
      <c r="S772" s="19" t="s">
        <v>20</v>
      </c>
    </row>
    <row r="773" spans="1:19" x14ac:dyDescent="0.25">
      <c r="A773" s="28">
        <v>4109094</v>
      </c>
      <c r="B773" s="15" t="s">
        <v>710</v>
      </c>
      <c r="C773" s="19" t="s">
        <v>12</v>
      </c>
      <c r="D773" s="21" t="s">
        <v>633</v>
      </c>
      <c r="E773" s="19" t="s">
        <v>684</v>
      </c>
      <c r="F773" s="19" t="s">
        <v>648</v>
      </c>
      <c r="G773" s="19" t="s">
        <v>648</v>
      </c>
      <c r="H773" s="19" t="s">
        <v>711</v>
      </c>
      <c r="I773" s="19"/>
      <c r="J773" s="19" t="s">
        <v>18</v>
      </c>
      <c r="K773" s="19" t="s">
        <v>18</v>
      </c>
      <c r="L773" s="19" t="s">
        <v>18</v>
      </c>
      <c r="M773" s="19" t="s">
        <v>18</v>
      </c>
      <c r="N773" s="19" t="s">
        <v>19</v>
      </c>
      <c r="O773" s="19" t="s">
        <v>19</v>
      </c>
      <c r="P773" s="19">
        <v>100.929925</v>
      </c>
      <c r="Q773" s="19">
        <v>4.179608</v>
      </c>
      <c r="R773" s="19"/>
      <c r="S773" s="19" t="s">
        <v>41</v>
      </c>
    </row>
    <row r="774" spans="1:19" x14ac:dyDescent="0.25">
      <c r="A774" s="28">
        <v>4109095</v>
      </c>
      <c r="B774" s="15" t="s">
        <v>712</v>
      </c>
      <c r="C774" s="19" t="s">
        <v>12</v>
      </c>
      <c r="D774" s="21" t="s">
        <v>633</v>
      </c>
      <c r="E774" s="19" t="s">
        <v>684</v>
      </c>
      <c r="F774" s="19" t="s">
        <v>648</v>
      </c>
      <c r="G774" s="19" t="s">
        <v>648</v>
      </c>
      <c r="H774" s="19" t="s">
        <v>711</v>
      </c>
      <c r="I774" s="19"/>
      <c r="J774" s="19" t="s">
        <v>18</v>
      </c>
      <c r="K774" s="19" t="s">
        <v>18</v>
      </c>
      <c r="L774" s="19" t="s">
        <v>18</v>
      </c>
      <c r="M774" s="19" t="s">
        <v>19</v>
      </c>
      <c r="N774" s="19" t="s">
        <v>18</v>
      </c>
      <c r="O774" s="19" t="s">
        <v>19</v>
      </c>
      <c r="P774" s="19">
        <v>100.988889</v>
      </c>
      <c r="Q774" s="19">
        <v>4.141667</v>
      </c>
      <c r="R774" s="19"/>
      <c r="S774" s="19" t="s">
        <v>41</v>
      </c>
    </row>
    <row r="775" spans="1:19" x14ac:dyDescent="0.25">
      <c r="A775" s="28">
        <v>4110129</v>
      </c>
      <c r="B775" s="15" t="s">
        <v>713</v>
      </c>
      <c r="C775" s="19" t="s">
        <v>12</v>
      </c>
      <c r="D775" s="21" t="s">
        <v>633</v>
      </c>
      <c r="E775" s="19" t="s">
        <v>647</v>
      </c>
      <c r="F775" s="19" t="s">
        <v>693</v>
      </c>
      <c r="G775" s="19" t="s">
        <v>648</v>
      </c>
      <c r="H775" s="19" t="s">
        <v>714</v>
      </c>
      <c r="I775" s="19"/>
      <c r="J775" s="19" t="s">
        <v>18</v>
      </c>
      <c r="K775" s="19" t="s">
        <v>18</v>
      </c>
      <c r="L775" s="19" t="s">
        <v>18</v>
      </c>
      <c r="M775" s="19" t="s">
        <v>19</v>
      </c>
      <c r="N775" s="19" t="s">
        <v>19</v>
      </c>
      <c r="O775" s="19" t="s">
        <v>19</v>
      </c>
      <c r="P775" s="19">
        <v>101.02638899999999</v>
      </c>
      <c r="Q775" s="19">
        <v>4.1097219999999997</v>
      </c>
      <c r="R775" s="19"/>
      <c r="S775" s="19" t="s">
        <v>41</v>
      </c>
    </row>
    <row r="776" spans="1:19" x14ac:dyDescent="0.25">
      <c r="A776" s="28">
        <v>4110136</v>
      </c>
      <c r="B776" s="15" t="s">
        <v>715</v>
      </c>
      <c r="C776" s="19" t="s">
        <v>12</v>
      </c>
      <c r="D776" s="21" t="s">
        <v>633</v>
      </c>
      <c r="E776" s="19" t="s">
        <v>647</v>
      </c>
      <c r="F776" s="19" t="s">
        <v>716</v>
      </c>
      <c r="G776" s="19" t="s">
        <v>648</v>
      </c>
      <c r="H776" s="19" t="s">
        <v>717</v>
      </c>
      <c r="I776" s="19"/>
      <c r="J776" s="19" t="s">
        <v>18</v>
      </c>
      <c r="K776" s="19" t="s">
        <v>18</v>
      </c>
      <c r="L776" s="19" t="s">
        <v>18</v>
      </c>
      <c r="M776" s="19" t="s">
        <v>19</v>
      </c>
      <c r="N776" s="19" t="s">
        <v>19</v>
      </c>
      <c r="O776" s="19" t="s">
        <v>19</v>
      </c>
      <c r="P776" s="19">
        <v>101.09861100000001</v>
      </c>
      <c r="Q776" s="19">
        <v>4.134722</v>
      </c>
      <c r="R776" s="19"/>
      <c r="S776" s="19" t="s">
        <v>41</v>
      </c>
    </row>
    <row r="777" spans="1:19" x14ac:dyDescent="0.25">
      <c r="A777" s="28">
        <v>4111134</v>
      </c>
      <c r="B777" s="15" t="s">
        <v>718</v>
      </c>
      <c r="C777" s="19" t="s">
        <v>12</v>
      </c>
      <c r="D777" s="21" t="s">
        <v>633</v>
      </c>
      <c r="E777" s="19" t="s">
        <v>634</v>
      </c>
      <c r="F777" s="19" t="s">
        <v>719</v>
      </c>
      <c r="G777" s="19" t="s">
        <v>648</v>
      </c>
      <c r="H777" s="19" t="s">
        <v>154</v>
      </c>
      <c r="I777" s="19" t="s">
        <v>720</v>
      </c>
      <c r="J777" s="19" t="s">
        <v>19</v>
      </c>
      <c r="K777" s="19" t="s">
        <v>19</v>
      </c>
      <c r="L777" s="19" t="s">
        <v>18</v>
      </c>
      <c r="M777" s="19" t="s">
        <v>19</v>
      </c>
      <c r="N777" s="19" t="s">
        <v>19</v>
      </c>
      <c r="O777" s="19" t="s">
        <v>19</v>
      </c>
      <c r="P777" s="19">
        <v>101.170833</v>
      </c>
      <c r="Q777" s="19">
        <v>4.1583329999999998</v>
      </c>
      <c r="R777" s="19"/>
      <c r="S777" s="19" t="s">
        <v>20</v>
      </c>
    </row>
    <row r="778" spans="1:19" x14ac:dyDescent="0.25">
      <c r="A778" s="28">
        <v>4111135</v>
      </c>
      <c r="B778" s="15" t="s">
        <v>721</v>
      </c>
      <c r="C778" s="19" t="s">
        <v>12</v>
      </c>
      <c r="D778" s="21" t="s">
        <v>633</v>
      </c>
      <c r="E778" s="19" t="s">
        <v>634</v>
      </c>
      <c r="F778" s="19" t="s">
        <v>719</v>
      </c>
      <c r="G778" s="19" t="s">
        <v>648</v>
      </c>
      <c r="H778" s="19" t="s">
        <v>722</v>
      </c>
      <c r="I778" s="19"/>
      <c r="J778" s="19" t="s">
        <v>18</v>
      </c>
      <c r="K778" s="19" t="s">
        <v>18</v>
      </c>
      <c r="L778" s="19" t="s">
        <v>18</v>
      </c>
      <c r="M778" s="19" t="s">
        <v>19</v>
      </c>
      <c r="N778" s="19" t="s">
        <v>18</v>
      </c>
      <c r="O778" s="19" t="s">
        <v>19</v>
      </c>
      <c r="P778" s="19">
        <v>101.148611</v>
      </c>
      <c r="Q778" s="19">
        <v>4.1597220000000004</v>
      </c>
      <c r="R778" s="19"/>
      <c r="S778" s="19" t="s">
        <v>20</v>
      </c>
    </row>
    <row r="779" spans="1:19" x14ac:dyDescent="0.25">
      <c r="A779" s="28">
        <v>4111137</v>
      </c>
      <c r="B779" s="15" t="s">
        <v>723</v>
      </c>
      <c r="C779" s="19" t="s">
        <v>12</v>
      </c>
      <c r="D779" s="21" t="s">
        <v>633</v>
      </c>
      <c r="E779" s="19" t="s">
        <v>647</v>
      </c>
      <c r="F779" s="19" t="s">
        <v>693</v>
      </c>
      <c r="G779" s="19" t="s">
        <v>648</v>
      </c>
      <c r="H779" s="19" t="s">
        <v>724</v>
      </c>
      <c r="I779" s="19" t="s">
        <v>725</v>
      </c>
      <c r="J779" s="19" t="s">
        <v>19</v>
      </c>
      <c r="K779" s="19" t="s">
        <v>19</v>
      </c>
      <c r="L779" s="19" t="s">
        <v>18</v>
      </c>
      <c r="M779" s="19" t="s">
        <v>19</v>
      </c>
      <c r="N779" s="19" t="s">
        <v>19</v>
      </c>
      <c r="O779" s="19" t="s">
        <v>19</v>
      </c>
      <c r="P779" s="19">
        <v>101.134722</v>
      </c>
      <c r="Q779" s="19">
        <v>4.1180560000000002</v>
      </c>
      <c r="R779" s="19"/>
      <c r="S779" s="19" t="s">
        <v>41</v>
      </c>
    </row>
    <row r="780" spans="1:19" x14ac:dyDescent="0.25">
      <c r="A780" s="28">
        <v>4112141</v>
      </c>
      <c r="B780" s="15" t="s">
        <v>726</v>
      </c>
      <c r="C780" s="19" t="s">
        <v>12</v>
      </c>
      <c r="D780" s="21" t="s">
        <v>633</v>
      </c>
      <c r="E780" s="19" t="s">
        <v>634</v>
      </c>
      <c r="F780" s="19" t="s">
        <v>727</v>
      </c>
      <c r="G780" s="19" t="s">
        <v>673</v>
      </c>
      <c r="H780" s="19" t="s">
        <v>48</v>
      </c>
      <c r="I780" s="19"/>
      <c r="J780" s="19" t="s">
        <v>18</v>
      </c>
      <c r="K780" s="19" t="s">
        <v>18</v>
      </c>
      <c r="L780" s="19" t="s">
        <v>18</v>
      </c>
      <c r="M780" s="19" t="s">
        <v>19</v>
      </c>
      <c r="N780" s="19" t="s">
        <v>19</v>
      </c>
      <c r="O780" s="19" t="s">
        <v>19</v>
      </c>
      <c r="P780" s="19">
        <v>101.295833</v>
      </c>
      <c r="Q780" s="19">
        <v>4.1194439999999997</v>
      </c>
      <c r="R780" s="19"/>
      <c r="S780" s="19" t="s">
        <v>41</v>
      </c>
    </row>
    <row r="781" spans="1:19" hidden="1" x14ac:dyDescent="0.25">
      <c r="A781" s="28">
        <v>4120064</v>
      </c>
      <c r="B781" s="15" t="s">
        <v>1694</v>
      </c>
      <c r="C781" s="19" t="s">
        <v>12</v>
      </c>
      <c r="D781" s="21" t="s">
        <v>1363</v>
      </c>
      <c r="E781" s="19" t="s">
        <v>1570</v>
      </c>
      <c r="F781" s="19" t="s">
        <v>1675</v>
      </c>
      <c r="G781" s="19" t="s">
        <v>1363</v>
      </c>
      <c r="H781" s="19" t="s">
        <v>747</v>
      </c>
      <c r="I781" s="19"/>
      <c r="J781" s="19" t="s">
        <v>18</v>
      </c>
      <c r="K781" s="19" t="s">
        <v>18</v>
      </c>
      <c r="L781" s="19" t="s">
        <v>18</v>
      </c>
      <c r="M781" s="19" t="s">
        <v>19</v>
      </c>
      <c r="N781" s="19" t="s">
        <v>18</v>
      </c>
      <c r="O781" s="19" t="s">
        <v>19</v>
      </c>
      <c r="P781" s="19">
        <v>102.04305600000001</v>
      </c>
      <c r="Q781" s="19">
        <v>4.1861110000000004</v>
      </c>
      <c r="R781" s="19"/>
      <c r="S781" s="19" t="s">
        <v>279</v>
      </c>
    </row>
    <row r="782" spans="1:19" hidden="1" x14ac:dyDescent="0.25">
      <c r="A782" s="28">
        <v>4122067</v>
      </c>
      <c r="B782" s="15" t="s">
        <v>1695</v>
      </c>
      <c r="C782" s="19" t="s">
        <v>12</v>
      </c>
      <c r="D782" s="21" t="s">
        <v>1363</v>
      </c>
      <c r="E782" s="19" t="s">
        <v>1570</v>
      </c>
      <c r="F782" s="19" t="s">
        <v>1675</v>
      </c>
      <c r="G782" s="19" t="s">
        <v>1363</v>
      </c>
      <c r="H782" s="19" t="s">
        <v>1525</v>
      </c>
      <c r="I782" s="19"/>
      <c r="J782" s="19" t="s">
        <v>18</v>
      </c>
      <c r="K782" s="19" t="s">
        <v>18</v>
      </c>
      <c r="L782" s="19" t="s">
        <v>18</v>
      </c>
      <c r="M782" s="19" t="s">
        <v>19</v>
      </c>
      <c r="N782" s="19" t="s">
        <v>18</v>
      </c>
      <c r="O782" s="19" t="s">
        <v>19</v>
      </c>
      <c r="P782" s="19">
        <v>102.2</v>
      </c>
      <c r="Q782" s="19">
        <v>4.1194439999999997</v>
      </c>
      <c r="R782" s="19"/>
      <c r="S782" s="19" t="s">
        <v>41</v>
      </c>
    </row>
    <row r="783" spans="1:19" hidden="1" x14ac:dyDescent="0.25">
      <c r="A783" s="28">
        <v>4123116</v>
      </c>
      <c r="B783" s="15" t="s">
        <v>1696</v>
      </c>
      <c r="C783" s="19" t="s">
        <v>12</v>
      </c>
      <c r="D783" s="21" t="s">
        <v>1363</v>
      </c>
      <c r="E783" s="19" t="s">
        <v>1573</v>
      </c>
      <c r="F783" s="19" t="s">
        <v>1689</v>
      </c>
      <c r="G783" s="19" t="s">
        <v>1363</v>
      </c>
      <c r="H783" s="19" t="s">
        <v>1105</v>
      </c>
      <c r="I783" s="19"/>
      <c r="J783" s="19" t="s">
        <v>18</v>
      </c>
      <c r="K783" s="19" t="s">
        <v>18</v>
      </c>
      <c r="L783" s="19" t="s">
        <v>18</v>
      </c>
      <c r="M783" s="19" t="s">
        <v>19</v>
      </c>
      <c r="N783" s="19" t="s">
        <v>19</v>
      </c>
      <c r="O783" s="19" t="s">
        <v>19</v>
      </c>
      <c r="P783" s="19">
        <v>102.345833</v>
      </c>
      <c r="Q783" s="19">
        <v>4.1222219999999998</v>
      </c>
      <c r="R783" s="19"/>
      <c r="S783" s="19" t="s">
        <v>41</v>
      </c>
    </row>
    <row r="784" spans="1:19" hidden="1" x14ac:dyDescent="0.25">
      <c r="A784" s="28">
        <v>4127001</v>
      </c>
      <c r="B784" s="15" t="s">
        <v>1697</v>
      </c>
      <c r="C784" s="19" t="s">
        <v>12</v>
      </c>
      <c r="D784" s="21" t="s">
        <v>1363</v>
      </c>
      <c r="E784" s="19" t="s">
        <v>1573</v>
      </c>
      <c r="F784" s="19" t="s">
        <v>1574</v>
      </c>
      <c r="G784" s="19" t="s">
        <v>1363</v>
      </c>
      <c r="H784" s="19" t="s">
        <v>71</v>
      </c>
      <c r="I784" s="19"/>
      <c r="J784" s="19" t="s">
        <v>18</v>
      </c>
      <c r="K784" s="19" t="s">
        <v>18</v>
      </c>
      <c r="L784" s="19" t="s">
        <v>19</v>
      </c>
      <c r="M784" s="19" t="s">
        <v>18</v>
      </c>
      <c r="N784" s="19" t="s">
        <v>18</v>
      </c>
      <c r="O784" s="19" t="s">
        <v>19</v>
      </c>
      <c r="P784" s="19">
        <v>102.753056</v>
      </c>
      <c r="Q784" s="19">
        <v>4.105556</v>
      </c>
      <c r="R784" s="19"/>
      <c r="S784" s="19" t="s">
        <v>41</v>
      </c>
    </row>
    <row r="785" spans="1:19" hidden="1" x14ac:dyDescent="0.25">
      <c r="A785" s="28">
        <v>4128001</v>
      </c>
      <c r="B785" s="15" t="s">
        <v>1698</v>
      </c>
      <c r="C785" s="19" t="s">
        <v>12</v>
      </c>
      <c r="D785" s="21" t="s">
        <v>1363</v>
      </c>
      <c r="E785" s="19" t="s">
        <v>1573</v>
      </c>
      <c r="F785" s="19" t="s">
        <v>1574</v>
      </c>
      <c r="G785" s="19" t="s">
        <v>1363</v>
      </c>
      <c r="H785" s="19" t="s">
        <v>71</v>
      </c>
      <c r="I785" s="19" t="s">
        <v>769</v>
      </c>
      <c r="J785" s="19" t="s">
        <v>19</v>
      </c>
      <c r="K785" s="19" t="s">
        <v>19</v>
      </c>
      <c r="L785" s="19" t="s">
        <v>19</v>
      </c>
      <c r="M785" s="19" t="s">
        <v>19</v>
      </c>
      <c r="N785" s="19" t="s">
        <v>18</v>
      </c>
      <c r="O785" s="19" t="s">
        <v>19</v>
      </c>
      <c r="P785" s="19">
        <v>102.879167</v>
      </c>
      <c r="Q785" s="19">
        <v>4.1944439999999998</v>
      </c>
      <c r="R785" s="19"/>
      <c r="S785" s="19" t="s">
        <v>41</v>
      </c>
    </row>
    <row r="786" spans="1:19" hidden="1" x14ac:dyDescent="0.25">
      <c r="A786" s="29">
        <v>4131001</v>
      </c>
      <c r="B786" s="25" t="s">
        <v>1871</v>
      </c>
      <c r="C786" s="26" t="s">
        <v>12</v>
      </c>
      <c r="D786" s="24" t="s">
        <v>1865</v>
      </c>
      <c r="E786" s="26" t="s">
        <v>1866</v>
      </c>
      <c r="F786" s="26" t="s">
        <v>1872</v>
      </c>
      <c r="G786" s="26" t="s">
        <v>1866</v>
      </c>
      <c r="H786" s="26" t="s">
        <v>1213</v>
      </c>
      <c r="I786" s="26"/>
      <c r="J786" s="26" t="s">
        <v>18</v>
      </c>
      <c r="K786" s="26" t="s">
        <v>18</v>
      </c>
      <c r="L786" s="26" t="s">
        <v>19</v>
      </c>
      <c r="M786" s="26" t="s">
        <v>18</v>
      </c>
      <c r="N786" s="26" t="s">
        <v>18</v>
      </c>
      <c r="O786" s="26" t="s">
        <v>19</v>
      </c>
      <c r="P786" s="26">
        <v>103.175</v>
      </c>
      <c r="Q786" s="26">
        <v>4.1333330000000004</v>
      </c>
      <c r="R786" s="26" t="s">
        <v>41</v>
      </c>
      <c r="S786" s="26" t="s">
        <v>1870</v>
      </c>
    </row>
    <row r="787" spans="1:19" x14ac:dyDescent="0.25">
      <c r="A787" s="28">
        <v>4205101</v>
      </c>
      <c r="B787" s="15" t="s">
        <v>728</v>
      </c>
      <c r="C787" s="19" t="s">
        <v>12</v>
      </c>
      <c r="D787" s="21" t="s">
        <v>633</v>
      </c>
      <c r="E787" s="19" t="s">
        <v>681</v>
      </c>
      <c r="F787" s="19"/>
      <c r="G787" s="19"/>
      <c r="H787" s="19" t="s">
        <v>729</v>
      </c>
      <c r="I787" s="19"/>
      <c r="J787" s="19" t="s">
        <v>18</v>
      </c>
      <c r="K787" s="19" t="s">
        <v>18</v>
      </c>
      <c r="L787" s="19" t="s">
        <v>18</v>
      </c>
      <c r="M787" s="19" t="s">
        <v>19</v>
      </c>
      <c r="N787" s="19" t="s">
        <v>18</v>
      </c>
      <c r="O787" s="19" t="s">
        <v>19</v>
      </c>
      <c r="P787" s="19">
        <v>100.575147</v>
      </c>
      <c r="Q787" s="19">
        <v>4.2125919999999999</v>
      </c>
      <c r="R787" s="19"/>
      <c r="S787" s="19" t="s">
        <v>41</v>
      </c>
    </row>
    <row r="788" spans="1:19" x14ac:dyDescent="0.25">
      <c r="A788" s="28">
        <v>4205102</v>
      </c>
      <c r="B788" s="15" t="s">
        <v>730</v>
      </c>
      <c r="C788" s="19" t="s">
        <v>12</v>
      </c>
      <c r="D788" s="21" t="s">
        <v>633</v>
      </c>
      <c r="E788" s="19" t="s">
        <v>681</v>
      </c>
      <c r="F788" s="19"/>
      <c r="G788" s="19"/>
      <c r="H788" s="19"/>
      <c r="I788" s="19"/>
      <c r="J788" s="19" t="s">
        <v>19</v>
      </c>
      <c r="K788" s="19" t="s">
        <v>18</v>
      </c>
      <c r="L788" s="19" t="s">
        <v>19</v>
      </c>
      <c r="M788" s="19" t="s">
        <v>18</v>
      </c>
      <c r="N788" s="19" t="s">
        <v>19</v>
      </c>
      <c r="O788" s="19" t="s">
        <v>19</v>
      </c>
      <c r="P788" s="19">
        <v>100.55425</v>
      </c>
      <c r="Q788" s="19">
        <v>4.2463059999999997</v>
      </c>
      <c r="R788" s="19"/>
      <c r="S788" s="19"/>
    </row>
    <row r="789" spans="1:19" x14ac:dyDescent="0.25">
      <c r="A789" s="28">
        <v>4206045</v>
      </c>
      <c r="B789" s="15" t="s">
        <v>731</v>
      </c>
      <c r="C789" s="19" t="s">
        <v>12</v>
      </c>
      <c r="D789" s="21" t="s">
        <v>633</v>
      </c>
      <c r="E789" s="19" t="s">
        <v>681</v>
      </c>
      <c r="F789" s="19"/>
      <c r="G789" s="19" t="s">
        <v>708</v>
      </c>
      <c r="H789" s="19" t="s">
        <v>329</v>
      </c>
      <c r="I789" s="19" t="s">
        <v>732</v>
      </c>
      <c r="J789" s="19" t="s">
        <v>19</v>
      </c>
      <c r="K789" s="19" t="s">
        <v>19</v>
      </c>
      <c r="L789" s="19" t="s">
        <v>18</v>
      </c>
      <c r="M789" s="19" t="s">
        <v>19</v>
      </c>
      <c r="N789" s="19" t="s">
        <v>19</v>
      </c>
      <c r="O789" s="19" t="s">
        <v>19</v>
      </c>
      <c r="P789" s="19">
        <v>100.608333</v>
      </c>
      <c r="Q789" s="19">
        <v>4.2263890000000002</v>
      </c>
      <c r="R789" s="19"/>
      <c r="S789" s="19" t="s">
        <v>733</v>
      </c>
    </row>
    <row r="790" spans="1:19" x14ac:dyDescent="0.25">
      <c r="A790" s="28">
        <v>4206046</v>
      </c>
      <c r="B790" s="15" t="s">
        <v>734</v>
      </c>
      <c r="C790" s="19" t="s">
        <v>12</v>
      </c>
      <c r="D790" s="21" t="s">
        <v>633</v>
      </c>
      <c r="E790" s="19" t="s">
        <v>681</v>
      </c>
      <c r="F790" s="19" t="s">
        <v>735</v>
      </c>
      <c r="G790" s="19" t="s">
        <v>708</v>
      </c>
      <c r="H790" s="19" t="s">
        <v>154</v>
      </c>
      <c r="I790" s="19" t="s">
        <v>336</v>
      </c>
      <c r="J790" s="19" t="s">
        <v>19</v>
      </c>
      <c r="K790" s="19" t="s">
        <v>19</v>
      </c>
      <c r="L790" s="19" t="s">
        <v>18</v>
      </c>
      <c r="M790" s="19" t="s">
        <v>19</v>
      </c>
      <c r="N790" s="19" t="s">
        <v>19</v>
      </c>
      <c r="O790" s="19" t="s">
        <v>19</v>
      </c>
      <c r="P790" s="19">
        <v>100.686111</v>
      </c>
      <c r="Q790" s="19">
        <v>4.2249999999999996</v>
      </c>
      <c r="R790" s="19"/>
      <c r="S790" s="19" t="s">
        <v>20</v>
      </c>
    </row>
    <row r="791" spans="1:19" x14ac:dyDescent="0.25">
      <c r="A791" s="28">
        <v>4207044</v>
      </c>
      <c r="B791" s="15" t="s">
        <v>736</v>
      </c>
      <c r="C791" s="19" t="s">
        <v>12</v>
      </c>
      <c r="D791" s="21" t="s">
        <v>633</v>
      </c>
      <c r="E791" s="19" t="s">
        <v>681</v>
      </c>
      <c r="F791" s="19" t="s">
        <v>737</v>
      </c>
      <c r="G791" s="19" t="s">
        <v>708</v>
      </c>
      <c r="H791" s="19" t="s">
        <v>154</v>
      </c>
      <c r="I791" s="19"/>
      <c r="J791" s="19" t="s">
        <v>18</v>
      </c>
      <c r="K791" s="19" t="s">
        <v>18</v>
      </c>
      <c r="L791" s="19" t="s">
        <v>18</v>
      </c>
      <c r="M791" s="19" t="s">
        <v>19</v>
      </c>
      <c r="N791" s="19" t="s">
        <v>19</v>
      </c>
      <c r="O791" s="19" t="s">
        <v>19</v>
      </c>
      <c r="P791" s="19">
        <v>100.709722</v>
      </c>
      <c r="Q791" s="19">
        <v>4.266667</v>
      </c>
      <c r="R791" s="19"/>
      <c r="S791" s="19" t="s">
        <v>20</v>
      </c>
    </row>
    <row r="792" spans="1:19" x14ac:dyDescent="0.25">
      <c r="A792" s="28">
        <v>4207048</v>
      </c>
      <c r="B792" s="15" t="s">
        <v>738</v>
      </c>
      <c r="C792" s="19" t="s">
        <v>12</v>
      </c>
      <c r="D792" s="21" t="s">
        <v>633</v>
      </c>
      <c r="E792" s="19" t="s">
        <v>681</v>
      </c>
      <c r="F792" s="19" t="s">
        <v>708</v>
      </c>
      <c r="G792" s="19" t="s">
        <v>708</v>
      </c>
      <c r="H792" s="19" t="s">
        <v>739</v>
      </c>
      <c r="I792" s="19"/>
      <c r="J792" s="19" t="s">
        <v>18</v>
      </c>
      <c r="K792" s="19" t="s">
        <v>18</v>
      </c>
      <c r="L792" s="19" t="s">
        <v>19</v>
      </c>
      <c r="M792" s="19" t="s">
        <v>19</v>
      </c>
      <c r="N792" s="19" t="s">
        <v>18</v>
      </c>
      <c r="O792" s="19" t="s">
        <v>19</v>
      </c>
      <c r="P792" s="19">
        <v>100.7</v>
      </c>
      <c r="Q792" s="19">
        <v>4.2180559999999998</v>
      </c>
      <c r="R792" s="19"/>
      <c r="S792" s="19" t="s">
        <v>41</v>
      </c>
    </row>
    <row r="793" spans="1:19" x14ac:dyDescent="0.25">
      <c r="A793" s="28">
        <v>4209001</v>
      </c>
      <c r="B793" s="15" t="s">
        <v>740</v>
      </c>
      <c r="C793" s="19" t="s">
        <v>12</v>
      </c>
      <c r="D793" s="21" t="s">
        <v>633</v>
      </c>
      <c r="E793" s="19" t="s">
        <v>684</v>
      </c>
      <c r="F793" s="19" t="s">
        <v>648</v>
      </c>
      <c r="G793" s="19" t="s">
        <v>648</v>
      </c>
      <c r="H793" s="19" t="s">
        <v>580</v>
      </c>
      <c r="I793" s="19"/>
      <c r="J793" s="19" t="s">
        <v>18</v>
      </c>
      <c r="K793" s="19" t="s">
        <v>18</v>
      </c>
      <c r="L793" s="19" t="s">
        <v>18</v>
      </c>
      <c r="M793" s="19" t="s">
        <v>19</v>
      </c>
      <c r="N793" s="19" t="s">
        <v>19</v>
      </c>
      <c r="O793" s="19" t="s">
        <v>19</v>
      </c>
      <c r="P793" s="19">
        <v>100.91249999999999</v>
      </c>
      <c r="Q793" s="19">
        <v>4.2555560000000003</v>
      </c>
      <c r="R793" s="19"/>
      <c r="S793" s="19" t="s">
        <v>41</v>
      </c>
    </row>
    <row r="794" spans="1:19" x14ac:dyDescent="0.25">
      <c r="A794" s="28">
        <v>4209093</v>
      </c>
      <c r="B794" s="15" t="s">
        <v>741</v>
      </c>
      <c r="C794" s="19" t="s">
        <v>12</v>
      </c>
      <c r="D794" s="21" t="s">
        <v>633</v>
      </c>
      <c r="E794" s="19" t="s">
        <v>684</v>
      </c>
      <c r="F794" s="19" t="s">
        <v>648</v>
      </c>
      <c r="G794" s="19" t="s">
        <v>648</v>
      </c>
      <c r="H794" s="19" t="s">
        <v>742</v>
      </c>
      <c r="I794" s="19"/>
      <c r="J794" s="19" t="s">
        <v>18</v>
      </c>
      <c r="K794" s="19" t="s">
        <v>18</v>
      </c>
      <c r="L794" s="19" t="s">
        <v>19</v>
      </c>
      <c r="M794" s="19" t="s">
        <v>18</v>
      </c>
      <c r="N794" s="19" t="s">
        <v>18</v>
      </c>
      <c r="O794" s="19" t="s">
        <v>19</v>
      </c>
      <c r="P794" s="19">
        <v>100.9</v>
      </c>
      <c r="Q794" s="19">
        <v>4.2555560000000003</v>
      </c>
      <c r="R794" s="19"/>
      <c r="S794" s="19" t="s">
        <v>41</v>
      </c>
    </row>
    <row r="795" spans="1:19" x14ac:dyDescent="0.25">
      <c r="A795" s="28">
        <v>4212128</v>
      </c>
      <c r="B795" s="15" t="s">
        <v>743</v>
      </c>
      <c r="C795" s="19" t="s">
        <v>12</v>
      </c>
      <c r="D795" s="21" t="s">
        <v>633</v>
      </c>
      <c r="E795" s="19" t="s">
        <v>634</v>
      </c>
      <c r="F795" s="19" t="s">
        <v>744</v>
      </c>
      <c r="G795" s="19" t="s">
        <v>648</v>
      </c>
      <c r="H795" s="19" t="s">
        <v>745</v>
      </c>
      <c r="I795" s="19"/>
      <c r="J795" s="19" t="s">
        <v>18</v>
      </c>
      <c r="K795" s="19" t="s">
        <v>18</v>
      </c>
      <c r="L795" s="19" t="s">
        <v>18</v>
      </c>
      <c r="M795" s="19" t="s">
        <v>19</v>
      </c>
      <c r="N795" s="19" t="s">
        <v>18</v>
      </c>
      <c r="O795" s="19" t="s">
        <v>19</v>
      </c>
      <c r="P795" s="19">
        <v>101.238889</v>
      </c>
      <c r="Q795" s="19">
        <v>4.266667</v>
      </c>
      <c r="R795" s="19"/>
      <c r="S795" s="19" t="s">
        <v>164</v>
      </c>
    </row>
    <row r="796" spans="1:19" x14ac:dyDescent="0.25">
      <c r="A796" s="28">
        <v>4212133</v>
      </c>
      <c r="B796" s="15" t="s">
        <v>746</v>
      </c>
      <c r="C796" s="19" t="s">
        <v>12</v>
      </c>
      <c r="D796" s="21" t="s">
        <v>633</v>
      </c>
      <c r="E796" s="19" t="s">
        <v>634</v>
      </c>
      <c r="F796" s="19" t="s">
        <v>719</v>
      </c>
      <c r="G796" s="19" t="s">
        <v>648</v>
      </c>
      <c r="H796" s="19" t="s">
        <v>747</v>
      </c>
      <c r="I796" s="19"/>
      <c r="J796" s="19" t="s">
        <v>19</v>
      </c>
      <c r="K796" s="19" t="s">
        <v>19</v>
      </c>
      <c r="L796" s="19" t="s">
        <v>18</v>
      </c>
      <c r="M796" s="19" t="s">
        <v>19</v>
      </c>
      <c r="N796" s="19" t="s">
        <v>19</v>
      </c>
      <c r="O796" s="19" t="s">
        <v>19</v>
      </c>
      <c r="P796" s="19">
        <v>101.259722</v>
      </c>
      <c r="Q796" s="19">
        <v>4.2</v>
      </c>
      <c r="R796" s="19"/>
      <c r="S796" s="19" t="s">
        <v>279</v>
      </c>
    </row>
    <row r="797" spans="1:19" hidden="1" x14ac:dyDescent="0.25">
      <c r="A797" s="28">
        <v>4218042</v>
      </c>
      <c r="B797" s="15" t="s">
        <v>1699</v>
      </c>
      <c r="C797" s="19" t="s">
        <v>12</v>
      </c>
      <c r="D797" s="21" t="s">
        <v>1363</v>
      </c>
      <c r="E797" s="19" t="s">
        <v>1570</v>
      </c>
      <c r="F797" s="19" t="s">
        <v>1675</v>
      </c>
      <c r="G797" s="19" t="s">
        <v>1363</v>
      </c>
      <c r="H797" s="19" t="s">
        <v>807</v>
      </c>
      <c r="I797" s="19"/>
      <c r="J797" s="19" t="s">
        <v>18</v>
      </c>
      <c r="K797" s="19" t="s">
        <v>18</v>
      </c>
      <c r="L797" s="19" t="s">
        <v>18</v>
      </c>
      <c r="M797" s="19" t="s">
        <v>19</v>
      </c>
      <c r="N797" s="19" t="s">
        <v>19</v>
      </c>
      <c r="O797" s="19" t="s">
        <v>19</v>
      </c>
      <c r="P797" s="19">
        <v>101.811111</v>
      </c>
      <c r="Q797" s="19">
        <v>4.2972219999999997</v>
      </c>
      <c r="R797" s="19"/>
      <c r="S797" s="19" t="s">
        <v>41</v>
      </c>
    </row>
    <row r="798" spans="1:19" hidden="1" x14ac:dyDescent="0.25">
      <c r="A798" s="28">
        <v>4218043</v>
      </c>
      <c r="B798" s="15" t="s">
        <v>1700</v>
      </c>
      <c r="C798" s="19" t="s">
        <v>12</v>
      </c>
      <c r="D798" s="21" t="s">
        <v>1363</v>
      </c>
      <c r="E798" s="19" t="s">
        <v>1570</v>
      </c>
      <c r="F798" s="19" t="s">
        <v>1675</v>
      </c>
      <c r="G798" s="19" t="s">
        <v>1363</v>
      </c>
      <c r="H798" s="19" t="s">
        <v>807</v>
      </c>
      <c r="I798" s="19"/>
      <c r="J798" s="19" t="s">
        <v>18</v>
      </c>
      <c r="K798" s="19" t="s">
        <v>18</v>
      </c>
      <c r="L798" s="19" t="s">
        <v>18</v>
      </c>
      <c r="M798" s="19" t="s">
        <v>19</v>
      </c>
      <c r="N798" s="19" t="s">
        <v>19</v>
      </c>
      <c r="O798" s="19" t="s">
        <v>19</v>
      </c>
      <c r="P798" s="19">
        <v>101.9</v>
      </c>
      <c r="Q798" s="19">
        <v>4.2166670000000002</v>
      </c>
      <c r="R798" s="19"/>
      <c r="S798" s="19" t="s">
        <v>41</v>
      </c>
    </row>
    <row r="799" spans="1:19" hidden="1" x14ac:dyDescent="0.25">
      <c r="A799" s="28">
        <v>4219001</v>
      </c>
      <c r="B799" s="15" t="s">
        <v>1701</v>
      </c>
      <c r="C799" s="19" t="s">
        <v>12</v>
      </c>
      <c r="D799" s="21" t="s">
        <v>1363</v>
      </c>
      <c r="E799" s="19" t="s">
        <v>1570</v>
      </c>
      <c r="F799" s="19" t="s">
        <v>1675</v>
      </c>
      <c r="G799" s="19" t="s">
        <v>1363</v>
      </c>
      <c r="H799" s="19" t="s">
        <v>1687</v>
      </c>
      <c r="I799" s="19"/>
      <c r="J799" s="19" t="s">
        <v>18</v>
      </c>
      <c r="K799" s="19" t="s">
        <v>18</v>
      </c>
      <c r="L799" s="19" t="s">
        <v>19</v>
      </c>
      <c r="M799" s="19" t="s">
        <v>18</v>
      </c>
      <c r="N799" s="19" t="s">
        <v>18</v>
      </c>
      <c r="O799" s="19" t="s">
        <v>19</v>
      </c>
      <c r="P799" s="19">
        <v>101.94027800000001</v>
      </c>
      <c r="Q799" s="19">
        <v>4.233333</v>
      </c>
      <c r="R799" s="19"/>
      <c r="S799" s="19" t="s">
        <v>41</v>
      </c>
    </row>
    <row r="800" spans="1:19" hidden="1" x14ac:dyDescent="0.25">
      <c r="A800" s="28">
        <v>4219049</v>
      </c>
      <c r="B800" s="15" t="s">
        <v>1702</v>
      </c>
      <c r="C800" s="19" t="s">
        <v>12</v>
      </c>
      <c r="D800" s="21" t="s">
        <v>1363</v>
      </c>
      <c r="E800" s="19" t="s">
        <v>1570</v>
      </c>
      <c r="F800" s="19" t="s">
        <v>1675</v>
      </c>
      <c r="G800" s="19" t="s">
        <v>1363</v>
      </c>
      <c r="H800" s="19" t="s">
        <v>1703</v>
      </c>
      <c r="I800" s="19"/>
      <c r="J800" s="19" t="s">
        <v>19</v>
      </c>
      <c r="K800" s="19" t="s">
        <v>19</v>
      </c>
      <c r="L800" s="19" t="s">
        <v>18</v>
      </c>
      <c r="M800" s="19" t="s">
        <v>19</v>
      </c>
      <c r="N800" s="19" t="s">
        <v>19</v>
      </c>
      <c r="O800" s="19" t="s">
        <v>19</v>
      </c>
      <c r="P800" s="19">
        <v>101.96388899999999</v>
      </c>
      <c r="Q800" s="19">
        <v>4.2486110000000004</v>
      </c>
      <c r="R800" s="19"/>
      <c r="S800" s="19" t="s">
        <v>41</v>
      </c>
    </row>
    <row r="801" spans="1:19" hidden="1" x14ac:dyDescent="0.25">
      <c r="A801" s="28">
        <v>4223115</v>
      </c>
      <c r="B801" s="15" t="s">
        <v>1704</v>
      </c>
      <c r="C801" s="19" t="s">
        <v>12</v>
      </c>
      <c r="D801" s="21" t="s">
        <v>1363</v>
      </c>
      <c r="E801" s="19" t="s">
        <v>1573</v>
      </c>
      <c r="F801" s="19" t="s">
        <v>1689</v>
      </c>
      <c r="G801" s="19" t="s">
        <v>1363</v>
      </c>
      <c r="H801" s="19" t="s">
        <v>1083</v>
      </c>
      <c r="I801" s="19"/>
      <c r="J801" s="19" t="s">
        <v>18</v>
      </c>
      <c r="K801" s="19" t="s">
        <v>18</v>
      </c>
      <c r="L801" s="19" t="s">
        <v>19</v>
      </c>
      <c r="M801" s="19" t="s">
        <v>19</v>
      </c>
      <c r="N801" s="19" t="s">
        <v>18</v>
      </c>
      <c r="O801" s="19" t="s">
        <v>19</v>
      </c>
      <c r="P801" s="19">
        <v>102.38333299999999</v>
      </c>
      <c r="Q801" s="19">
        <v>4.2430560000000002</v>
      </c>
      <c r="R801" s="19"/>
      <c r="S801" s="19" t="s">
        <v>41</v>
      </c>
    </row>
    <row r="802" spans="1:19" hidden="1" x14ac:dyDescent="0.25">
      <c r="A802" s="28">
        <v>4227001</v>
      </c>
      <c r="B802" s="15" t="s">
        <v>1705</v>
      </c>
      <c r="C802" s="19" t="s">
        <v>12</v>
      </c>
      <c r="D802" s="21" t="s">
        <v>1363</v>
      </c>
      <c r="E802" s="19" t="s">
        <v>1573</v>
      </c>
      <c r="F802" s="19" t="s">
        <v>1574</v>
      </c>
      <c r="G802" s="19" t="s">
        <v>1363</v>
      </c>
      <c r="H802" s="19" t="s">
        <v>71</v>
      </c>
      <c r="I802" s="19"/>
      <c r="J802" s="19" t="s">
        <v>18</v>
      </c>
      <c r="K802" s="19" t="s">
        <v>18</v>
      </c>
      <c r="L802" s="19" t="s">
        <v>19</v>
      </c>
      <c r="M802" s="19" t="s">
        <v>18</v>
      </c>
      <c r="N802" s="19" t="s">
        <v>18</v>
      </c>
      <c r="O802" s="19" t="s">
        <v>19</v>
      </c>
      <c r="P802" s="19">
        <v>102.733333</v>
      </c>
      <c r="Q802" s="19">
        <v>4.233333</v>
      </c>
      <c r="R802" s="19"/>
      <c r="S802" s="19" t="s">
        <v>41</v>
      </c>
    </row>
    <row r="803" spans="1:19" hidden="1" x14ac:dyDescent="0.25">
      <c r="A803" s="29">
        <v>4231103</v>
      </c>
      <c r="B803" s="25" t="s">
        <v>1873</v>
      </c>
      <c r="C803" s="26" t="s">
        <v>12</v>
      </c>
      <c r="D803" s="24" t="s">
        <v>1865</v>
      </c>
      <c r="E803" s="26" t="s">
        <v>1866</v>
      </c>
      <c r="F803" s="26" t="s">
        <v>1867</v>
      </c>
      <c r="G803" s="26" t="s">
        <v>1866</v>
      </c>
      <c r="H803" s="26" t="s">
        <v>1048</v>
      </c>
      <c r="I803" s="26" t="s">
        <v>133</v>
      </c>
      <c r="J803" s="26" t="s">
        <v>19</v>
      </c>
      <c r="K803" s="26" t="s">
        <v>19</v>
      </c>
      <c r="L803" s="26" t="s">
        <v>19</v>
      </c>
      <c r="M803" s="26" t="s">
        <v>19</v>
      </c>
      <c r="N803" s="26" t="s">
        <v>18</v>
      </c>
      <c r="O803" s="26" t="s">
        <v>19</v>
      </c>
      <c r="P803" s="26">
        <v>103.198611</v>
      </c>
      <c r="Q803" s="26">
        <v>4.2444439999999997</v>
      </c>
      <c r="R803" s="26" t="s">
        <v>41</v>
      </c>
      <c r="S803" s="26" t="s">
        <v>1874</v>
      </c>
    </row>
    <row r="804" spans="1:19" hidden="1" x14ac:dyDescent="0.25">
      <c r="A804" s="29">
        <v>4232001</v>
      </c>
      <c r="B804" s="25" t="s">
        <v>1875</v>
      </c>
      <c r="C804" s="26" t="s">
        <v>12</v>
      </c>
      <c r="D804" s="24" t="s">
        <v>1865</v>
      </c>
      <c r="E804" s="26" t="s">
        <v>1866</v>
      </c>
      <c r="F804" s="26" t="s">
        <v>1867</v>
      </c>
      <c r="G804" s="26" t="s">
        <v>1866</v>
      </c>
      <c r="H804" s="26" t="s">
        <v>133</v>
      </c>
      <c r="I804" s="26" t="s">
        <v>1876</v>
      </c>
      <c r="J804" s="26" t="s">
        <v>19</v>
      </c>
      <c r="K804" s="26" t="s">
        <v>19</v>
      </c>
      <c r="L804" s="26" t="s">
        <v>19</v>
      </c>
      <c r="M804" s="26" t="s">
        <v>19</v>
      </c>
      <c r="N804" s="26" t="s">
        <v>18</v>
      </c>
      <c r="O804" s="26" t="s">
        <v>19</v>
      </c>
      <c r="P804" s="26">
        <v>103.21388899999999</v>
      </c>
      <c r="Q804" s="26">
        <v>4.2708329999999997</v>
      </c>
      <c r="R804" s="26" t="s">
        <v>41</v>
      </c>
      <c r="S804" s="26" t="s">
        <v>1870</v>
      </c>
    </row>
    <row r="805" spans="1:19" hidden="1" x14ac:dyDescent="0.25">
      <c r="A805" s="29">
        <v>4232002</v>
      </c>
      <c r="B805" s="25" t="s">
        <v>1877</v>
      </c>
      <c r="C805" s="26" t="s">
        <v>12</v>
      </c>
      <c r="D805" s="24" t="s">
        <v>1865</v>
      </c>
      <c r="E805" s="26" t="s">
        <v>1866</v>
      </c>
      <c r="F805" s="26" t="s">
        <v>1867</v>
      </c>
      <c r="G805" s="26" t="s">
        <v>1867</v>
      </c>
      <c r="H805" s="26" t="s">
        <v>1213</v>
      </c>
      <c r="I805" s="26"/>
      <c r="J805" s="26" t="s">
        <v>18</v>
      </c>
      <c r="K805" s="26" t="s">
        <v>18</v>
      </c>
      <c r="L805" s="26" t="s">
        <v>19</v>
      </c>
      <c r="M805" s="26" t="s">
        <v>18</v>
      </c>
      <c r="N805" s="26" t="s">
        <v>18</v>
      </c>
      <c r="O805" s="26" t="s">
        <v>19</v>
      </c>
      <c r="P805" s="26">
        <v>103.198611</v>
      </c>
      <c r="Q805" s="26">
        <v>4.2708329999999997</v>
      </c>
      <c r="R805" s="26" t="s">
        <v>41</v>
      </c>
      <c r="S805" s="26" t="s">
        <v>1870</v>
      </c>
    </row>
    <row r="806" spans="1:19" hidden="1" x14ac:dyDescent="0.25">
      <c r="A806" s="29">
        <v>4232104</v>
      </c>
      <c r="B806" s="25" t="s">
        <v>1878</v>
      </c>
      <c r="C806" s="26" t="s">
        <v>12</v>
      </c>
      <c r="D806" s="24" t="s">
        <v>1865</v>
      </c>
      <c r="E806" s="26" t="s">
        <v>1866</v>
      </c>
      <c r="F806" s="26"/>
      <c r="G806" s="26" t="s">
        <v>1866</v>
      </c>
      <c r="H806" s="26" t="s">
        <v>1048</v>
      </c>
      <c r="I806" s="26"/>
      <c r="J806" s="26" t="s">
        <v>18</v>
      </c>
      <c r="K806" s="26" t="s">
        <v>18</v>
      </c>
      <c r="L806" s="26" t="s">
        <v>19</v>
      </c>
      <c r="M806" s="26" t="s">
        <v>19</v>
      </c>
      <c r="N806" s="26" t="s">
        <v>18</v>
      </c>
      <c r="O806" s="26" t="s">
        <v>19</v>
      </c>
      <c r="P806" s="26">
        <v>103.297222</v>
      </c>
      <c r="Q806" s="26">
        <v>4.2388890000000004</v>
      </c>
      <c r="R806" s="26" t="s">
        <v>472</v>
      </c>
      <c r="S806" s="26" t="s">
        <v>1870</v>
      </c>
    </row>
    <row r="807" spans="1:19" hidden="1" x14ac:dyDescent="0.25">
      <c r="A807" s="29">
        <v>4234109</v>
      </c>
      <c r="B807" s="25" t="s">
        <v>1879</v>
      </c>
      <c r="C807" s="26" t="s">
        <v>12</v>
      </c>
      <c r="D807" s="24" t="s">
        <v>1865</v>
      </c>
      <c r="E807" s="26" t="s">
        <v>1866</v>
      </c>
      <c r="F807" s="26" t="s">
        <v>1867</v>
      </c>
      <c r="G807" s="26" t="s">
        <v>1880</v>
      </c>
      <c r="H807" s="26" t="s">
        <v>1881</v>
      </c>
      <c r="I807" s="26"/>
      <c r="J807" s="26" t="s">
        <v>18</v>
      </c>
      <c r="K807" s="26" t="s">
        <v>18</v>
      </c>
      <c r="L807" s="26" t="s">
        <v>19</v>
      </c>
      <c r="M807" s="26" t="s">
        <v>18</v>
      </c>
      <c r="N807" s="26" t="s">
        <v>18</v>
      </c>
      <c r="O807" s="26" t="s">
        <v>19</v>
      </c>
      <c r="P807" s="26">
        <v>103.422222</v>
      </c>
      <c r="Q807" s="26">
        <v>4.2319440000000004</v>
      </c>
      <c r="R807" s="26" t="s">
        <v>41</v>
      </c>
      <c r="S807" s="26" t="s">
        <v>1870</v>
      </c>
    </row>
    <row r="808" spans="1:19" x14ac:dyDescent="0.25">
      <c r="A808" s="28">
        <v>4306039</v>
      </c>
      <c r="B808" s="15" t="s">
        <v>748</v>
      </c>
      <c r="C808" s="19" t="s">
        <v>12</v>
      </c>
      <c r="D808" s="21" t="s">
        <v>633</v>
      </c>
      <c r="E808" s="19" t="s">
        <v>681</v>
      </c>
      <c r="F808" s="19" t="s">
        <v>749</v>
      </c>
      <c r="G808" s="19" t="s">
        <v>708</v>
      </c>
      <c r="H808" s="19" t="s">
        <v>750</v>
      </c>
      <c r="I808" s="19"/>
      <c r="J808" s="19" t="s">
        <v>18</v>
      </c>
      <c r="K808" s="19" t="s">
        <v>18</v>
      </c>
      <c r="L808" s="19" t="s">
        <v>18</v>
      </c>
      <c r="M808" s="19" t="s">
        <v>19</v>
      </c>
      <c r="N808" s="19" t="s">
        <v>19</v>
      </c>
      <c r="O808" s="19" t="s">
        <v>19</v>
      </c>
      <c r="P808" s="19">
        <v>100.69583299999999</v>
      </c>
      <c r="Q808" s="19">
        <v>4.391667</v>
      </c>
      <c r="R808" s="19"/>
      <c r="S808" s="19" t="s">
        <v>20</v>
      </c>
    </row>
    <row r="809" spans="1:19" x14ac:dyDescent="0.25">
      <c r="A809" s="28">
        <v>4306040</v>
      </c>
      <c r="B809" s="15" t="s">
        <v>751</v>
      </c>
      <c r="C809" s="19" t="s">
        <v>12</v>
      </c>
      <c r="D809" s="21" t="s">
        <v>633</v>
      </c>
      <c r="E809" s="19" t="s">
        <v>681</v>
      </c>
      <c r="F809" s="19" t="s">
        <v>752</v>
      </c>
      <c r="G809" s="19" t="s">
        <v>708</v>
      </c>
      <c r="H809" s="19" t="s">
        <v>753</v>
      </c>
      <c r="I809" s="19"/>
      <c r="J809" s="19" t="s">
        <v>18</v>
      </c>
      <c r="K809" s="19" t="s">
        <v>18</v>
      </c>
      <c r="L809" s="19" t="s">
        <v>18</v>
      </c>
      <c r="M809" s="19" t="s">
        <v>19</v>
      </c>
      <c r="N809" s="19" t="s">
        <v>19</v>
      </c>
      <c r="O809" s="19" t="s">
        <v>19</v>
      </c>
      <c r="P809" s="19">
        <v>100.629167</v>
      </c>
      <c r="Q809" s="19">
        <v>4.3694439999999997</v>
      </c>
      <c r="R809" s="19"/>
      <c r="S809" s="19" t="s">
        <v>20</v>
      </c>
    </row>
    <row r="810" spans="1:19" x14ac:dyDescent="0.25">
      <c r="A810" s="28">
        <v>4306042</v>
      </c>
      <c r="B810" s="15" t="s">
        <v>754</v>
      </c>
      <c r="C810" s="19" t="s">
        <v>12</v>
      </c>
      <c r="D810" s="21" t="s">
        <v>633</v>
      </c>
      <c r="E810" s="19" t="s">
        <v>681</v>
      </c>
      <c r="F810" s="19" t="s">
        <v>752</v>
      </c>
      <c r="G810" s="19" t="s">
        <v>708</v>
      </c>
      <c r="H810" s="19" t="s">
        <v>755</v>
      </c>
      <c r="I810" s="19" t="s">
        <v>756</v>
      </c>
      <c r="J810" s="19" t="s">
        <v>19</v>
      </c>
      <c r="K810" s="19" t="s">
        <v>19</v>
      </c>
      <c r="L810" s="19" t="s">
        <v>18</v>
      </c>
      <c r="M810" s="19" t="s">
        <v>19</v>
      </c>
      <c r="N810" s="19" t="s">
        <v>19</v>
      </c>
      <c r="O810" s="19" t="s">
        <v>19</v>
      </c>
      <c r="P810" s="19">
        <v>100.629167</v>
      </c>
      <c r="Q810" s="19">
        <v>4.3194439999999998</v>
      </c>
      <c r="R810" s="19"/>
      <c r="S810" s="19" t="s">
        <v>20</v>
      </c>
    </row>
    <row r="811" spans="1:19" x14ac:dyDescent="0.25">
      <c r="A811" s="28">
        <v>4307041</v>
      </c>
      <c r="B811" s="15" t="s">
        <v>757</v>
      </c>
      <c r="C811" s="19" t="s">
        <v>12</v>
      </c>
      <c r="D811" s="21" t="s">
        <v>633</v>
      </c>
      <c r="E811" s="19" t="s">
        <v>681</v>
      </c>
      <c r="F811" s="19" t="s">
        <v>758</v>
      </c>
      <c r="G811" s="19" t="s">
        <v>708</v>
      </c>
      <c r="H811" s="19" t="s">
        <v>759</v>
      </c>
      <c r="I811" s="19"/>
      <c r="J811" s="19" t="s">
        <v>18</v>
      </c>
      <c r="K811" s="19" t="s">
        <v>18</v>
      </c>
      <c r="L811" s="19" t="s">
        <v>18</v>
      </c>
      <c r="M811" s="19" t="s">
        <v>19</v>
      </c>
      <c r="N811" s="19" t="s">
        <v>19</v>
      </c>
      <c r="O811" s="19" t="s">
        <v>19</v>
      </c>
      <c r="P811" s="19">
        <v>100.79305600000001</v>
      </c>
      <c r="Q811" s="19">
        <v>4.3472220000000004</v>
      </c>
      <c r="R811" s="19"/>
      <c r="S811" s="19" t="s">
        <v>20</v>
      </c>
    </row>
    <row r="812" spans="1:19" x14ac:dyDescent="0.25">
      <c r="A812" s="28">
        <v>4307043</v>
      </c>
      <c r="B812" s="15" t="s">
        <v>760</v>
      </c>
      <c r="C812" s="19" t="s">
        <v>12</v>
      </c>
      <c r="D812" s="21" t="s">
        <v>633</v>
      </c>
      <c r="E812" s="19" t="s">
        <v>681</v>
      </c>
      <c r="F812" s="19" t="s">
        <v>758</v>
      </c>
      <c r="G812" s="19" t="s">
        <v>708</v>
      </c>
      <c r="H812" s="19" t="s">
        <v>761</v>
      </c>
      <c r="I812" s="19" t="s">
        <v>444</v>
      </c>
      <c r="J812" s="19" t="s">
        <v>19</v>
      </c>
      <c r="K812" s="19" t="s">
        <v>19</v>
      </c>
      <c r="L812" s="19" t="s">
        <v>18</v>
      </c>
      <c r="M812" s="19" t="s">
        <v>19</v>
      </c>
      <c r="N812" s="19" t="s">
        <v>19</v>
      </c>
      <c r="O812" s="19" t="s">
        <v>19</v>
      </c>
      <c r="P812" s="19">
        <v>100.78749999999999</v>
      </c>
      <c r="Q812" s="19">
        <v>4.338889</v>
      </c>
      <c r="R812" s="19"/>
      <c r="S812" s="19" t="s">
        <v>20</v>
      </c>
    </row>
    <row r="813" spans="1:19" x14ac:dyDescent="0.25">
      <c r="A813" s="28">
        <v>4309092</v>
      </c>
      <c r="B813" s="15" t="s">
        <v>762</v>
      </c>
      <c r="C813" s="19" t="s">
        <v>12</v>
      </c>
      <c r="D813" s="21" t="s">
        <v>633</v>
      </c>
      <c r="E813" s="19" t="s">
        <v>684</v>
      </c>
      <c r="F813" s="19" t="s">
        <v>648</v>
      </c>
      <c r="G813" s="19" t="s">
        <v>648</v>
      </c>
      <c r="H813" s="19" t="s">
        <v>763</v>
      </c>
      <c r="I813" s="19"/>
      <c r="J813" s="19" t="s">
        <v>18</v>
      </c>
      <c r="K813" s="19" t="s">
        <v>18</v>
      </c>
      <c r="L813" s="19" t="s">
        <v>18</v>
      </c>
      <c r="M813" s="19" t="s">
        <v>19</v>
      </c>
      <c r="N813" s="19" t="s">
        <v>19</v>
      </c>
      <c r="O813" s="19" t="s">
        <v>19</v>
      </c>
      <c r="P813" s="19">
        <v>100.902778</v>
      </c>
      <c r="Q813" s="19">
        <v>4.3777780000000002</v>
      </c>
      <c r="R813" s="19"/>
      <c r="S813" s="19" t="s">
        <v>41</v>
      </c>
    </row>
    <row r="814" spans="1:19" x14ac:dyDescent="0.25">
      <c r="A814" s="28">
        <v>4310001</v>
      </c>
      <c r="B814" s="15" t="s">
        <v>764</v>
      </c>
      <c r="C814" s="19" t="s">
        <v>12</v>
      </c>
      <c r="D814" s="21" t="s">
        <v>633</v>
      </c>
      <c r="E814" s="19" t="s">
        <v>765</v>
      </c>
      <c r="F814" s="19" t="s">
        <v>765</v>
      </c>
      <c r="G814" s="19" t="s">
        <v>633</v>
      </c>
      <c r="H814" s="19"/>
      <c r="I814" s="19"/>
      <c r="J814" s="19" t="s">
        <v>19</v>
      </c>
      <c r="K814" s="19" t="s">
        <v>18</v>
      </c>
      <c r="L814" s="19" t="s">
        <v>19</v>
      </c>
      <c r="M814" s="19" t="s">
        <v>18</v>
      </c>
      <c r="N814" s="19" t="s">
        <v>19</v>
      </c>
      <c r="O814" s="19" t="s">
        <v>19</v>
      </c>
      <c r="P814" s="19">
        <v>101.07103600000001</v>
      </c>
      <c r="Q814" s="19">
        <v>4.3230500000000003</v>
      </c>
      <c r="R814" s="19"/>
      <c r="S814" s="19"/>
    </row>
    <row r="815" spans="1:19" x14ac:dyDescent="0.25">
      <c r="A815" s="28">
        <v>4311001</v>
      </c>
      <c r="B815" s="15" t="s">
        <v>766</v>
      </c>
      <c r="C815" s="19" t="s">
        <v>12</v>
      </c>
      <c r="D815" s="21" t="s">
        <v>633</v>
      </c>
      <c r="E815" s="19" t="s">
        <v>765</v>
      </c>
      <c r="F815" s="19" t="s">
        <v>767</v>
      </c>
      <c r="G815" s="19" t="s">
        <v>768</v>
      </c>
      <c r="H815" s="19" t="s">
        <v>769</v>
      </c>
      <c r="I815" s="19"/>
      <c r="J815" s="19" t="s">
        <v>18</v>
      </c>
      <c r="K815" s="19" t="s">
        <v>18</v>
      </c>
      <c r="L815" s="19" t="s">
        <v>19</v>
      </c>
      <c r="M815" s="19" t="s">
        <v>19</v>
      </c>
      <c r="N815" s="19" t="s">
        <v>18</v>
      </c>
      <c r="O815" s="19" t="s">
        <v>19</v>
      </c>
      <c r="P815" s="19">
        <v>101.155556</v>
      </c>
      <c r="Q815" s="19">
        <v>4.3055560000000002</v>
      </c>
      <c r="R815" s="19"/>
      <c r="S815" s="19" t="s">
        <v>41</v>
      </c>
    </row>
    <row r="816" spans="1:19" x14ac:dyDescent="0.25">
      <c r="A816" s="28">
        <v>4311126</v>
      </c>
      <c r="B816" s="15" t="s">
        <v>770</v>
      </c>
      <c r="C816" s="19" t="s">
        <v>12</v>
      </c>
      <c r="D816" s="21" t="s">
        <v>633</v>
      </c>
      <c r="E816" s="19" t="s">
        <v>765</v>
      </c>
      <c r="F816" s="19" t="s">
        <v>767</v>
      </c>
      <c r="G816" s="19" t="s">
        <v>768</v>
      </c>
      <c r="H816" s="19" t="s">
        <v>771</v>
      </c>
      <c r="I816" s="19" t="s">
        <v>498</v>
      </c>
      <c r="J816" s="19" t="s">
        <v>19</v>
      </c>
      <c r="K816" s="19" t="s">
        <v>19</v>
      </c>
      <c r="L816" s="19" t="s">
        <v>18</v>
      </c>
      <c r="M816" s="19" t="s">
        <v>19</v>
      </c>
      <c r="N816" s="19" t="s">
        <v>19</v>
      </c>
      <c r="O816" s="19" t="s">
        <v>19</v>
      </c>
      <c r="P816" s="19">
        <v>101.113889</v>
      </c>
      <c r="Q816" s="19">
        <v>4.3972220000000002</v>
      </c>
      <c r="R816" s="19"/>
      <c r="S816" s="19" t="s">
        <v>20</v>
      </c>
    </row>
    <row r="817" spans="1:19" x14ac:dyDescent="0.25">
      <c r="A817" s="28">
        <v>4311127</v>
      </c>
      <c r="B817" s="15" t="s">
        <v>772</v>
      </c>
      <c r="C817" s="19" t="s">
        <v>12</v>
      </c>
      <c r="D817" s="21" t="s">
        <v>633</v>
      </c>
      <c r="E817" s="19" t="s">
        <v>765</v>
      </c>
      <c r="F817" s="19" t="s">
        <v>767</v>
      </c>
      <c r="G817" s="19" t="s">
        <v>768</v>
      </c>
      <c r="H817" s="19" t="s">
        <v>773</v>
      </c>
      <c r="I817" s="19" t="s">
        <v>774</v>
      </c>
      <c r="J817" s="19" t="s">
        <v>19</v>
      </c>
      <c r="K817" s="19" t="s">
        <v>19</v>
      </c>
      <c r="L817" s="19" t="s">
        <v>18</v>
      </c>
      <c r="M817" s="19" t="s">
        <v>19</v>
      </c>
      <c r="N817" s="19" t="s">
        <v>19</v>
      </c>
      <c r="O817" s="19" t="s">
        <v>19</v>
      </c>
      <c r="P817" s="19">
        <v>101.155556</v>
      </c>
      <c r="Q817" s="19">
        <v>4.3138889999999996</v>
      </c>
      <c r="R817" s="19"/>
      <c r="S817" s="19" t="s">
        <v>279</v>
      </c>
    </row>
    <row r="818" spans="1:19" x14ac:dyDescent="0.25">
      <c r="A818" s="28">
        <v>4312001</v>
      </c>
      <c r="B818" s="15" t="s">
        <v>775</v>
      </c>
      <c r="C818" s="19" t="s">
        <v>12</v>
      </c>
      <c r="D818" s="21" t="s">
        <v>633</v>
      </c>
      <c r="E818" s="19" t="s">
        <v>765</v>
      </c>
      <c r="F818" s="19"/>
      <c r="G818" s="19"/>
      <c r="H818" s="19"/>
      <c r="I818" s="19"/>
      <c r="J818" s="19" t="s">
        <v>19</v>
      </c>
      <c r="K818" s="19" t="s">
        <v>18</v>
      </c>
      <c r="L818" s="19" t="s">
        <v>19</v>
      </c>
      <c r="M818" s="19" t="s">
        <v>18</v>
      </c>
      <c r="N818" s="19" t="s">
        <v>19</v>
      </c>
      <c r="O818" s="19" t="s">
        <v>19</v>
      </c>
      <c r="P818" s="19">
        <v>101.214581</v>
      </c>
      <c r="Q818" s="19">
        <v>4.3858470000000001</v>
      </c>
      <c r="R818" s="19"/>
      <c r="S818" s="19"/>
    </row>
    <row r="819" spans="1:19" hidden="1" x14ac:dyDescent="0.25">
      <c r="A819" s="28">
        <v>4319048</v>
      </c>
      <c r="B819" s="15" t="s">
        <v>1706</v>
      </c>
      <c r="C819" s="19" t="s">
        <v>12</v>
      </c>
      <c r="D819" s="21" t="s">
        <v>1363</v>
      </c>
      <c r="E819" s="19" t="s">
        <v>1570</v>
      </c>
      <c r="F819" s="19" t="s">
        <v>1707</v>
      </c>
      <c r="G819" s="19" t="s">
        <v>1363</v>
      </c>
      <c r="H819" s="19" t="s">
        <v>1683</v>
      </c>
      <c r="I819" s="19"/>
      <c r="J819" s="19" t="s">
        <v>18</v>
      </c>
      <c r="K819" s="19" t="s">
        <v>18</v>
      </c>
      <c r="L819" s="19" t="s">
        <v>18</v>
      </c>
      <c r="M819" s="19" t="s">
        <v>19</v>
      </c>
      <c r="N819" s="19" t="s">
        <v>19</v>
      </c>
      <c r="O819" s="19" t="s">
        <v>19</v>
      </c>
      <c r="P819" s="19">
        <v>101.919444</v>
      </c>
      <c r="Q819" s="19">
        <v>4.3513890000000002</v>
      </c>
      <c r="R819" s="19"/>
      <c r="S819" s="19" t="s">
        <v>472</v>
      </c>
    </row>
    <row r="820" spans="1:19" hidden="1" x14ac:dyDescent="0.25">
      <c r="A820" s="28">
        <v>4320066</v>
      </c>
      <c r="B820" s="15" t="s">
        <v>1708</v>
      </c>
      <c r="C820" s="19" t="s">
        <v>12</v>
      </c>
      <c r="D820" s="21" t="s">
        <v>1363</v>
      </c>
      <c r="E820" s="19" t="s">
        <v>1570</v>
      </c>
      <c r="F820" s="19" t="s">
        <v>1709</v>
      </c>
      <c r="G820" s="19" t="s">
        <v>1363</v>
      </c>
      <c r="H820" s="19" t="s">
        <v>1002</v>
      </c>
      <c r="I820" s="19"/>
      <c r="J820" s="19" t="s">
        <v>18</v>
      </c>
      <c r="K820" s="19" t="s">
        <v>18</v>
      </c>
      <c r="L820" s="19" t="s">
        <v>18</v>
      </c>
      <c r="M820" s="19" t="s">
        <v>19</v>
      </c>
      <c r="N820" s="19" t="s">
        <v>18</v>
      </c>
      <c r="O820" s="19" t="s">
        <v>19</v>
      </c>
      <c r="P820" s="19">
        <v>102.066667</v>
      </c>
      <c r="Q820" s="19">
        <v>4.358333</v>
      </c>
      <c r="R820" s="19"/>
      <c r="S820" s="19" t="s">
        <v>41</v>
      </c>
    </row>
    <row r="821" spans="1:19" hidden="1" x14ac:dyDescent="0.25">
      <c r="A821" s="28">
        <v>4324001</v>
      </c>
      <c r="B821" s="15" t="s">
        <v>1710</v>
      </c>
      <c r="C821" s="19" t="s">
        <v>12</v>
      </c>
      <c r="D821" s="21" t="s">
        <v>1363</v>
      </c>
      <c r="E821" s="19" t="s">
        <v>1573</v>
      </c>
      <c r="F821" s="19" t="s">
        <v>1689</v>
      </c>
      <c r="G821" s="19" t="s">
        <v>1363</v>
      </c>
      <c r="H821" s="19" t="s">
        <v>1687</v>
      </c>
      <c r="I821" s="19"/>
      <c r="J821" s="19" t="s">
        <v>18</v>
      </c>
      <c r="K821" s="19" t="s">
        <v>18</v>
      </c>
      <c r="L821" s="19" t="s">
        <v>19</v>
      </c>
      <c r="M821" s="19" t="s">
        <v>18</v>
      </c>
      <c r="N821" s="19" t="s">
        <v>18</v>
      </c>
      <c r="O821" s="19" t="s">
        <v>19</v>
      </c>
      <c r="P821" s="19">
        <v>102.402778</v>
      </c>
      <c r="Q821" s="19">
        <v>4.3861109999999996</v>
      </c>
      <c r="R821" s="19"/>
      <c r="S821" s="19" t="s">
        <v>41</v>
      </c>
    </row>
    <row r="822" spans="1:19" hidden="1" x14ac:dyDescent="0.25">
      <c r="A822" s="28">
        <v>4324113</v>
      </c>
      <c r="B822" s="15" t="s">
        <v>1711</v>
      </c>
      <c r="C822" s="19" t="s">
        <v>12</v>
      </c>
      <c r="D822" s="21" t="s">
        <v>1363</v>
      </c>
      <c r="E822" s="19" t="s">
        <v>1573</v>
      </c>
      <c r="F822" s="19" t="s">
        <v>1689</v>
      </c>
      <c r="G822" s="19" t="s">
        <v>1363</v>
      </c>
      <c r="H822" s="19" t="s">
        <v>1712</v>
      </c>
      <c r="I822" s="19"/>
      <c r="J822" s="19" t="s">
        <v>19</v>
      </c>
      <c r="K822" s="19" t="s">
        <v>19</v>
      </c>
      <c r="L822" s="19" t="s">
        <v>18</v>
      </c>
      <c r="M822" s="19" t="s">
        <v>19</v>
      </c>
      <c r="N822" s="19" t="s">
        <v>19</v>
      </c>
      <c r="O822" s="19" t="s">
        <v>19</v>
      </c>
      <c r="P822" s="19">
        <v>102.404167</v>
      </c>
      <c r="Q822" s="19">
        <v>4.3861109999999996</v>
      </c>
      <c r="R822" s="19"/>
      <c r="S822" s="19" t="s">
        <v>41</v>
      </c>
    </row>
    <row r="823" spans="1:19" hidden="1" x14ac:dyDescent="0.25">
      <c r="A823" s="29">
        <v>4332001</v>
      </c>
      <c r="B823" s="25" t="s">
        <v>1882</v>
      </c>
      <c r="C823" s="26" t="s">
        <v>12</v>
      </c>
      <c r="D823" s="24" t="s">
        <v>1865</v>
      </c>
      <c r="E823" s="26" t="s">
        <v>1866</v>
      </c>
      <c r="F823" s="26" t="s">
        <v>1883</v>
      </c>
      <c r="G823" s="26" t="s">
        <v>1867</v>
      </c>
      <c r="H823" s="26" t="s">
        <v>1213</v>
      </c>
      <c r="I823" s="26"/>
      <c r="J823" s="26" t="s">
        <v>18</v>
      </c>
      <c r="K823" s="26" t="s">
        <v>18</v>
      </c>
      <c r="L823" s="26" t="s">
        <v>19</v>
      </c>
      <c r="M823" s="26" t="s">
        <v>18</v>
      </c>
      <c r="N823" s="26" t="s">
        <v>18</v>
      </c>
      <c r="O823" s="26" t="s">
        <v>19</v>
      </c>
      <c r="P823" s="26">
        <v>103.2625</v>
      </c>
      <c r="Q823" s="26">
        <v>4.3777780000000002</v>
      </c>
      <c r="R823" s="26" t="s">
        <v>41</v>
      </c>
      <c r="S823" s="26" t="s">
        <v>1870</v>
      </c>
    </row>
    <row r="824" spans="1:19" hidden="1" x14ac:dyDescent="0.25">
      <c r="A824" s="29">
        <v>4333001</v>
      </c>
      <c r="B824" s="25" t="s">
        <v>1884</v>
      </c>
      <c r="C824" s="26" t="s">
        <v>12</v>
      </c>
      <c r="D824" s="24" t="s">
        <v>1865</v>
      </c>
      <c r="E824" s="26" t="s">
        <v>1866</v>
      </c>
      <c r="F824" s="26"/>
      <c r="G824" s="26" t="s">
        <v>1866</v>
      </c>
      <c r="H824" s="26" t="s">
        <v>1197</v>
      </c>
      <c r="I824" s="26"/>
      <c r="J824" s="26" t="s">
        <v>18</v>
      </c>
      <c r="K824" s="26" t="s">
        <v>18</v>
      </c>
      <c r="L824" s="26" t="s">
        <v>19</v>
      </c>
      <c r="M824" s="26" t="s">
        <v>19</v>
      </c>
      <c r="N824" s="26" t="s">
        <v>18</v>
      </c>
      <c r="O824" s="26" t="s">
        <v>19</v>
      </c>
      <c r="P824" s="26">
        <v>103.347222</v>
      </c>
      <c r="Q824" s="26">
        <v>4.3624999999999998</v>
      </c>
      <c r="R824" s="26" t="s">
        <v>41</v>
      </c>
      <c r="S824" s="26" t="s">
        <v>1870</v>
      </c>
    </row>
    <row r="825" spans="1:19" hidden="1" x14ac:dyDescent="0.25">
      <c r="A825" s="29">
        <v>4333096</v>
      </c>
      <c r="B825" s="25" t="s">
        <v>1885</v>
      </c>
      <c r="C825" s="26" t="s">
        <v>12</v>
      </c>
      <c r="D825" s="24" t="s">
        <v>1865</v>
      </c>
      <c r="E825" s="26" t="s">
        <v>1866</v>
      </c>
      <c r="F825" s="26" t="s">
        <v>1883</v>
      </c>
      <c r="G825" s="26" t="s">
        <v>1866</v>
      </c>
      <c r="H825" s="26" t="s">
        <v>1886</v>
      </c>
      <c r="I825" s="26"/>
      <c r="J825" s="26" t="s">
        <v>18</v>
      </c>
      <c r="K825" s="26" t="s">
        <v>18</v>
      </c>
      <c r="L825" s="26" t="s">
        <v>19</v>
      </c>
      <c r="M825" s="26" t="s">
        <v>19</v>
      </c>
      <c r="N825" s="26" t="s">
        <v>18</v>
      </c>
      <c r="O825" s="26" t="s">
        <v>19</v>
      </c>
      <c r="P825" s="26">
        <v>103.368056</v>
      </c>
      <c r="Q825" s="26">
        <v>4.3277780000000003</v>
      </c>
      <c r="R825" s="26" t="s">
        <v>1887</v>
      </c>
      <c r="S825" s="26" t="s">
        <v>1870</v>
      </c>
    </row>
    <row r="826" spans="1:19" hidden="1" x14ac:dyDescent="0.25">
      <c r="A826" s="29">
        <v>4334094</v>
      </c>
      <c r="B826" s="25" t="s">
        <v>1888</v>
      </c>
      <c r="C826" s="26" t="s">
        <v>12</v>
      </c>
      <c r="D826" s="24" t="s">
        <v>1865</v>
      </c>
      <c r="E826" s="26" t="s">
        <v>1866</v>
      </c>
      <c r="F826" s="26"/>
      <c r="G826" s="26" t="s">
        <v>1880</v>
      </c>
      <c r="H826" s="26" t="s">
        <v>1048</v>
      </c>
      <c r="I826" s="26"/>
      <c r="J826" s="26" t="s">
        <v>18</v>
      </c>
      <c r="K826" s="26" t="s">
        <v>18</v>
      </c>
      <c r="L826" s="26" t="s">
        <v>19</v>
      </c>
      <c r="M826" s="26" t="s">
        <v>19</v>
      </c>
      <c r="N826" s="26" t="s">
        <v>18</v>
      </c>
      <c r="O826" s="26" t="s">
        <v>19</v>
      </c>
      <c r="P826" s="26">
        <v>103.4875</v>
      </c>
      <c r="Q826" s="26">
        <v>4.331944</v>
      </c>
      <c r="R826" s="26" t="s">
        <v>472</v>
      </c>
      <c r="S826" s="26" t="s">
        <v>1870</v>
      </c>
    </row>
    <row r="827" spans="1:19" x14ac:dyDescent="0.25">
      <c r="A827" s="28">
        <v>4406049</v>
      </c>
      <c r="B827" s="15" t="s">
        <v>776</v>
      </c>
      <c r="C827" s="19" t="s">
        <v>12</v>
      </c>
      <c r="D827" s="21" t="s">
        <v>633</v>
      </c>
      <c r="E827" s="19" t="s">
        <v>681</v>
      </c>
      <c r="F827" s="19" t="s">
        <v>749</v>
      </c>
      <c r="G827" s="19" t="s">
        <v>708</v>
      </c>
      <c r="H827" s="19" t="s">
        <v>750</v>
      </c>
      <c r="I827" s="19"/>
      <c r="J827" s="19" t="s">
        <v>18</v>
      </c>
      <c r="K827" s="19" t="s">
        <v>18</v>
      </c>
      <c r="L827" s="19" t="s">
        <v>18</v>
      </c>
      <c r="M827" s="19" t="s">
        <v>19</v>
      </c>
      <c r="N827" s="19" t="s">
        <v>19</v>
      </c>
      <c r="O827" s="19" t="s">
        <v>19</v>
      </c>
      <c r="P827" s="19">
        <v>100.7</v>
      </c>
      <c r="Q827" s="19">
        <v>4.4319439999999997</v>
      </c>
      <c r="R827" s="19"/>
      <c r="S827" s="19" t="s">
        <v>20</v>
      </c>
    </row>
    <row r="828" spans="1:19" x14ac:dyDescent="0.25">
      <c r="A828" s="28">
        <v>4407038</v>
      </c>
      <c r="B828" s="15" t="s">
        <v>777</v>
      </c>
      <c r="C828" s="19" t="s">
        <v>12</v>
      </c>
      <c r="D828" s="21" t="s">
        <v>633</v>
      </c>
      <c r="E828" s="19" t="s">
        <v>681</v>
      </c>
      <c r="F828" s="19" t="s">
        <v>778</v>
      </c>
      <c r="G828" s="19" t="s">
        <v>778</v>
      </c>
      <c r="H828" s="19" t="s">
        <v>490</v>
      </c>
      <c r="I828" s="19"/>
      <c r="J828" s="19" t="s">
        <v>18</v>
      </c>
      <c r="K828" s="19" t="s">
        <v>18</v>
      </c>
      <c r="L828" s="19" t="s">
        <v>18</v>
      </c>
      <c r="M828" s="19" t="s">
        <v>19</v>
      </c>
      <c r="N828" s="19" t="s">
        <v>19</v>
      </c>
      <c r="O828" s="19" t="s">
        <v>19</v>
      </c>
      <c r="P828" s="19">
        <v>100.7625</v>
      </c>
      <c r="Q828" s="19">
        <v>4.4930560000000002</v>
      </c>
      <c r="R828" s="19"/>
      <c r="S828" s="19" t="s">
        <v>20</v>
      </c>
    </row>
    <row r="829" spans="1:19" x14ac:dyDescent="0.25">
      <c r="A829" s="28">
        <v>4409090</v>
      </c>
      <c r="B829" s="15" t="s">
        <v>779</v>
      </c>
      <c r="C829" s="19" t="s">
        <v>12</v>
      </c>
      <c r="D829" s="21" t="s">
        <v>633</v>
      </c>
      <c r="E829" s="19" t="s">
        <v>684</v>
      </c>
      <c r="F829" s="19" t="s">
        <v>648</v>
      </c>
      <c r="G829" s="19" t="s">
        <v>648</v>
      </c>
      <c r="H829" s="19" t="s">
        <v>780</v>
      </c>
      <c r="I829" s="19"/>
      <c r="J829" s="19" t="s">
        <v>19</v>
      </c>
      <c r="K829" s="19" t="s">
        <v>19</v>
      </c>
      <c r="L829" s="19" t="s">
        <v>18</v>
      </c>
      <c r="M829" s="19" t="s">
        <v>19</v>
      </c>
      <c r="N829" s="19" t="s">
        <v>19</v>
      </c>
      <c r="O829" s="19" t="s">
        <v>19</v>
      </c>
      <c r="P829" s="19">
        <v>100.930556</v>
      </c>
      <c r="Q829" s="19">
        <v>4.4583329999999997</v>
      </c>
      <c r="R829" s="19"/>
      <c r="S829" s="19" t="s">
        <v>20</v>
      </c>
    </row>
    <row r="830" spans="1:19" x14ac:dyDescent="0.25">
      <c r="A830" s="28">
        <v>4409091</v>
      </c>
      <c r="B830" s="15" t="s">
        <v>781</v>
      </c>
      <c r="C830" s="19" t="s">
        <v>12</v>
      </c>
      <c r="D830" s="21" t="s">
        <v>633</v>
      </c>
      <c r="E830" s="19" t="s">
        <v>684</v>
      </c>
      <c r="F830" s="19" t="s">
        <v>648</v>
      </c>
      <c r="G830" s="19" t="s">
        <v>648</v>
      </c>
      <c r="H830" s="19" t="s">
        <v>702</v>
      </c>
      <c r="I830" s="19"/>
      <c r="J830" s="19" t="s">
        <v>18</v>
      </c>
      <c r="K830" s="19" t="s">
        <v>18</v>
      </c>
      <c r="L830" s="19" t="s">
        <v>19</v>
      </c>
      <c r="M830" s="19" t="s">
        <v>19</v>
      </c>
      <c r="N830" s="19" t="s">
        <v>18</v>
      </c>
      <c r="O830" s="19" t="s">
        <v>19</v>
      </c>
      <c r="P830" s="19">
        <v>100.90138899999999</v>
      </c>
      <c r="Q830" s="19">
        <v>4.4611109999999998</v>
      </c>
      <c r="R830" s="19"/>
      <c r="S830" s="19" t="s">
        <v>41</v>
      </c>
    </row>
    <row r="831" spans="1:19" x14ac:dyDescent="0.25">
      <c r="A831" s="28">
        <v>4409092</v>
      </c>
      <c r="B831" s="15" t="s">
        <v>782</v>
      </c>
      <c r="C831" s="19" t="s">
        <v>12</v>
      </c>
      <c r="D831" s="21" t="s">
        <v>633</v>
      </c>
      <c r="E831" s="19" t="s">
        <v>684</v>
      </c>
      <c r="F831" s="19" t="s">
        <v>633</v>
      </c>
      <c r="G831" s="19" t="s">
        <v>633</v>
      </c>
      <c r="H831" s="19"/>
      <c r="I831" s="19"/>
      <c r="J831" s="19" t="s">
        <v>19</v>
      </c>
      <c r="K831" s="19" t="s">
        <v>18</v>
      </c>
      <c r="L831" s="19" t="s">
        <v>19</v>
      </c>
      <c r="M831" s="19" t="s">
        <v>18</v>
      </c>
      <c r="N831" s="19" t="s">
        <v>19</v>
      </c>
      <c r="O831" s="19" t="s">
        <v>19</v>
      </c>
      <c r="P831" s="19">
        <v>100.9049</v>
      </c>
      <c r="Q831" s="19">
        <v>4.4721719999999996</v>
      </c>
      <c r="R831" s="19"/>
      <c r="S831" s="19"/>
    </row>
    <row r="832" spans="1:19" x14ac:dyDescent="0.25">
      <c r="A832" s="28">
        <v>4409121</v>
      </c>
      <c r="B832" s="15" t="s">
        <v>783</v>
      </c>
      <c r="C832" s="19" t="s">
        <v>12</v>
      </c>
      <c r="D832" s="21" t="s">
        <v>633</v>
      </c>
      <c r="E832" s="19" t="s">
        <v>765</v>
      </c>
      <c r="F832" s="19" t="s">
        <v>784</v>
      </c>
      <c r="G832" s="19" t="s">
        <v>648</v>
      </c>
      <c r="H832" s="19" t="s">
        <v>666</v>
      </c>
      <c r="I832" s="19"/>
      <c r="J832" s="19" t="s">
        <v>18</v>
      </c>
      <c r="K832" s="19" t="s">
        <v>18</v>
      </c>
      <c r="L832" s="19" t="s">
        <v>18</v>
      </c>
      <c r="M832" s="19" t="s">
        <v>19</v>
      </c>
      <c r="N832" s="19" t="s">
        <v>19</v>
      </c>
      <c r="O832" s="19" t="s">
        <v>19</v>
      </c>
      <c r="P832" s="19">
        <v>100.95694399999999</v>
      </c>
      <c r="Q832" s="19">
        <v>4.4138890000000002</v>
      </c>
      <c r="R832" s="19"/>
      <c r="S832" s="19" t="s">
        <v>20</v>
      </c>
    </row>
    <row r="833" spans="1:19" x14ac:dyDescent="0.25">
      <c r="A833" s="28">
        <v>4410120</v>
      </c>
      <c r="B833" s="15" t="s">
        <v>785</v>
      </c>
      <c r="C833" s="19" t="s">
        <v>12</v>
      </c>
      <c r="D833" s="21" t="s">
        <v>633</v>
      </c>
      <c r="E833" s="19" t="s">
        <v>765</v>
      </c>
      <c r="F833" s="19" t="s">
        <v>768</v>
      </c>
      <c r="G833" s="19" t="s">
        <v>768</v>
      </c>
      <c r="H833" s="19" t="s">
        <v>691</v>
      </c>
      <c r="I833" s="19" t="s">
        <v>638</v>
      </c>
      <c r="J833" s="19" t="s">
        <v>19</v>
      </c>
      <c r="K833" s="19" t="s">
        <v>19</v>
      </c>
      <c r="L833" s="19" t="s">
        <v>18</v>
      </c>
      <c r="M833" s="19" t="s">
        <v>19</v>
      </c>
      <c r="N833" s="19" t="s">
        <v>19</v>
      </c>
      <c r="O833" s="19" t="s">
        <v>19</v>
      </c>
      <c r="P833" s="19">
        <v>101.033333</v>
      </c>
      <c r="Q833" s="19">
        <v>4.4694440000000002</v>
      </c>
      <c r="R833" s="19"/>
      <c r="S833" s="19" t="s">
        <v>279</v>
      </c>
    </row>
    <row r="834" spans="1:19" x14ac:dyDescent="0.25">
      <c r="A834" s="28">
        <v>4410122</v>
      </c>
      <c r="B834" s="15" t="s">
        <v>786</v>
      </c>
      <c r="C834" s="19" t="s">
        <v>12</v>
      </c>
      <c r="D834" s="21" t="s">
        <v>633</v>
      </c>
      <c r="E834" s="19" t="s">
        <v>765</v>
      </c>
      <c r="F834" s="19" t="s">
        <v>768</v>
      </c>
      <c r="G834" s="19" t="s">
        <v>768</v>
      </c>
      <c r="H834" s="19" t="s">
        <v>124</v>
      </c>
      <c r="I834" s="19"/>
      <c r="J834" s="19" t="s">
        <v>19</v>
      </c>
      <c r="K834" s="19" t="s">
        <v>19</v>
      </c>
      <c r="L834" s="19" t="s">
        <v>18</v>
      </c>
      <c r="M834" s="19" t="s">
        <v>19</v>
      </c>
      <c r="N834" s="19" t="s">
        <v>19</v>
      </c>
      <c r="O834" s="19" t="s">
        <v>19</v>
      </c>
      <c r="P834" s="19">
        <v>101.03611100000001</v>
      </c>
      <c r="Q834" s="19">
        <v>4.427778</v>
      </c>
      <c r="R834" s="19"/>
      <c r="S834" s="19" t="s">
        <v>20</v>
      </c>
    </row>
    <row r="835" spans="1:19" x14ac:dyDescent="0.25">
      <c r="A835" s="28">
        <v>4410123</v>
      </c>
      <c r="B835" s="15" t="s">
        <v>787</v>
      </c>
      <c r="C835" s="19" t="s">
        <v>12</v>
      </c>
      <c r="D835" s="21" t="s">
        <v>633</v>
      </c>
      <c r="E835" s="19" t="s">
        <v>765</v>
      </c>
      <c r="F835" s="19" t="s">
        <v>768</v>
      </c>
      <c r="G835" s="19" t="s">
        <v>768</v>
      </c>
      <c r="H835" s="19" t="s">
        <v>142</v>
      </c>
      <c r="I835" s="19" t="s">
        <v>336</v>
      </c>
      <c r="J835" s="19" t="s">
        <v>19</v>
      </c>
      <c r="K835" s="19" t="s">
        <v>19</v>
      </c>
      <c r="L835" s="19" t="s">
        <v>18</v>
      </c>
      <c r="M835" s="19" t="s">
        <v>19</v>
      </c>
      <c r="N835" s="19" t="s">
        <v>19</v>
      </c>
      <c r="O835" s="19" t="s">
        <v>19</v>
      </c>
      <c r="P835" s="19">
        <v>101.030556</v>
      </c>
      <c r="Q835" s="19">
        <v>4.4027779999999996</v>
      </c>
      <c r="R835" s="19"/>
      <c r="S835" s="19" t="s">
        <v>20</v>
      </c>
    </row>
    <row r="836" spans="1:19" x14ac:dyDescent="0.25">
      <c r="A836" s="28">
        <v>4411001</v>
      </c>
      <c r="B836" s="15" t="s">
        <v>788</v>
      </c>
      <c r="C836" s="19" t="s">
        <v>12</v>
      </c>
      <c r="D836" s="21" t="s">
        <v>633</v>
      </c>
      <c r="E836" s="19" t="s">
        <v>765</v>
      </c>
      <c r="F836" s="19" t="s">
        <v>789</v>
      </c>
      <c r="G836" s="19" t="s">
        <v>768</v>
      </c>
      <c r="H836" s="19" t="s">
        <v>790</v>
      </c>
      <c r="I836" s="19"/>
      <c r="J836" s="19" t="s">
        <v>18</v>
      </c>
      <c r="K836" s="19" t="s">
        <v>18</v>
      </c>
      <c r="L836" s="19" t="s">
        <v>18</v>
      </c>
      <c r="M836" s="19" t="s">
        <v>19</v>
      </c>
      <c r="N836" s="19" t="s">
        <v>18</v>
      </c>
      <c r="O836" s="19" t="s">
        <v>19</v>
      </c>
      <c r="P836" s="19">
        <v>101.170833</v>
      </c>
      <c r="Q836" s="19">
        <v>4.4791670000000003</v>
      </c>
      <c r="R836" s="19"/>
      <c r="S836" s="19" t="s">
        <v>41</v>
      </c>
    </row>
    <row r="837" spans="1:19" x14ac:dyDescent="0.25">
      <c r="A837" s="28">
        <v>4411119</v>
      </c>
      <c r="B837" s="15" t="s">
        <v>791</v>
      </c>
      <c r="C837" s="19" t="s">
        <v>12</v>
      </c>
      <c r="D837" s="21" t="s">
        <v>633</v>
      </c>
      <c r="E837" s="19" t="s">
        <v>765</v>
      </c>
      <c r="F837" s="19" t="s">
        <v>789</v>
      </c>
      <c r="G837" s="19" t="s">
        <v>768</v>
      </c>
      <c r="H837" s="19" t="s">
        <v>691</v>
      </c>
      <c r="I837" s="19" t="s">
        <v>792</v>
      </c>
      <c r="J837" s="19" t="s">
        <v>19</v>
      </c>
      <c r="K837" s="19" t="s">
        <v>19</v>
      </c>
      <c r="L837" s="19" t="s">
        <v>18</v>
      </c>
      <c r="M837" s="19" t="s">
        <v>19</v>
      </c>
      <c r="N837" s="19" t="s">
        <v>19</v>
      </c>
      <c r="O837" s="19" t="s">
        <v>19</v>
      </c>
      <c r="P837" s="19">
        <v>101.16249999999999</v>
      </c>
      <c r="Q837" s="19">
        <v>4.473611</v>
      </c>
      <c r="R837" s="19"/>
      <c r="S837" s="19" t="s">
        <v>279</v>
      </c>
    </row>
    <row r="838" spans="1:19" x14ac:dyDescent="0.25">
      <c r="A838" s="28">
        <v>4411120</v>
      </c>
      <c r="B838" s="15" t="s">
        <v>793</v>
      </c>
      <c r="C838" s="19" t="s">
        <v>12</v>
      </c>
      <c r="D838" s="21" t="s">
        <v>633</v>
      </c>
      <c r="E838" s="19" t="s">
        <v>765</v>
      </c>
      <c r="F838" s="19"/>
      <c r="G838" s="19"/>
      <c r="H838" s="19"/>
      <c r="I838" s="19"/>
      <c r="J838" s="19" t="s">
        <v>19</v>
      </c>
      <c r="K838" s="19" t="s">
        <v>18</v>
      </c>
      <c r="L838" s="19" t="s">
        <v>19</v>
      </c>
      <c r="M838" s="19" t="s">
        <v>18</v>
      </c>
      <c r="N838" s="19" t="s">
        <v>19</v>
      </c>
      <c r="O838" s="19" t="s">
        <v>19</v>
      </c>
      <c r="P838" s="19">
        <v>101.190831</v>
      </c>
      <c r="Q838" s="19">
        <v>4.4342779999999999</v>
      </c>
      <c r="R838" s="19"/>
      <c r="S838" s="19"/>
    </row>
    <row r="839" spans="1:19" hidden="1" x14ac:dyDescent="0.25">
      <c r="A839" s="28">
        <v>4413033</v>
      </c>
      <c r="B839" s="15" t="s">
        <v>1713</v>
      </c>
      <c r="C839" s="19" t="s">
        <v>12</v>
      </c>
      <c r="D839" s="21" t="s">
        <v>1363</v>
      </c>
      <c r="E839" s="19" t="s">
        <v>1714</v>
      </c>
      <c r="F839" s="19" t="s">
        <v>1715</v>
      </c>
      <c r="G839" s="19" t="s">
        <v>1363</v>
      </c>
      <c r="H839" s="19" t="s">
        <v>1682</v>
      </c>
      <c r="I839" s="19" t="s">
        <v>410</v>
      </c>
      <c r="J839" s="19" t="s">
        <v>19</v>
      </c>
      <c r="K839" s="19" t="s">
        <v>19</v>
      </c>
      <c r="L839" s="19" t="s">
        <v>18</v>
      </c>
      <c r="M839" s="19" t="s">
        <v>19</v>
      </c>
      <c r="N839" s="19" t="s">
        <v>19</v>
      </c>
      <c r="O839" s="19" t="s">
        <v>19</v>
      </c>
      <c r="P839" s="19">
        <v>101.390278</v>
      </c>
      <c r="Q839" s="19">
        <v>4.4958330000000002</v>
      </c>
      <c r="R839" s="19"/>
      <c r="S839" s="19" t="s">
        <v>41</v>
      </c>
    </row>
    <row r="840" spans="1:19" hidden="1" x14ac:dyDescent="0.25">
      <c r="A840" s="28">
        <v>4413034</v>
      </c>
      <c r="B840" s="15" t="s">
        <v>1716</v>
      </c>
      <c r="C840" s="19" t="s">
        <v>12</v>
      </c>
      <c r="D840" s="21" t="s">
        <v>1363</v>
      </c>
      <c r="E840" s="19" t="s">
        <v>1717</v>
      </c>
      <c r="F840" s="19" t="s">
        <v>1715</v>
      </c>
      <c r="G840" s="19" t="s">
        <v>1363</v>
      </c>
      <c r="H840" s="19" t="s">
        <v>1537</v>
      </c>
      <c r="I840" s="19"/>
      <c r="J840" s="19" t="s">
        <v>19</v>
      </c>
      <c r="K840" s="19" t="s">
        <v>19</v>
      </c>
      <c r="L840" s="19" t="s">
        <v>18</v>
      </c>
      <c r="M840" s="19" t="s">
        <v>19</v>
      </c>
      <c r="N840" s="19" t="s">
        <v>19</v>
      </c>
      <c r="O840" s="19" t="s">
        <v>19</v>
      </c>
      <c r="P840" s="19">
        <v>101.37777800000001</v>
      </c>
      <c r="Q840" s="19">
        <v>4.473611</v>
      </c>
      <c r="R840" s="19"/>
      <c r="S840" s="19" t="s">
        <v>221</v>
      </c>
    </row>
    <row r="841" spans="1:19" hidden="1" x14ac:dyDescent="0.25">
      <c r="A841" s="28">
        <v>4413035</v>
      </c>
      <c r="B841" s="15" t="s">
        <v>1718</v>
      </c>
      <c r="C841" s="19" t="s">
        <v>12</v>
      </c>
      <c r="D841" s="21" t="s">
        <v>1363</v>
      </c>
      <c r="E841" s="19" t="s">
        <v>1714</v>
      </c>
      <c r="F841" s="19" t="s">
        <v>1715</v>
      </c>
      <c r="G841" s="19" t="s">
        <v>1363</v>
      </c>
      <c r="H841" s="19" t="s">
        <v>1719</v>
      </c>
      <c r="I841" s="19" t="s">
        <v>1720</v>
      </c>
      <c r="J841" s="19" t="s">
        <v>19</v>
      </c>
      <c r="K841" s="19" t="s">
        <v>19</v>
      </c>
      <c r="L841" s="19" t="s">
        <v>18</v>
      </c>
      <c r="M841" s="19" t="s">
        <v>19</v>
      </c>
      <c r="N841" s="19" t="s">
        <v>19</v>
      </c>
      <c r="O841" s="19" t="s">
        <v>19</v>
      </c>
      <c r="P841" s="19">
        <v>101.384722</v>
      </c>
      <c r="Q841" s="19">
        <v>4.4152779999999998</v>
      </c>
      <c r="R841" s="19"/>
      <c r="S841" s="19" t="s">
        <v>41</v>
      </c>
    </row>
    <row r="842" spans="1:19" hidden="1" x14ac:dyDescent="0.25">
      <c r="A842" s="28">
        <v>4414036</v>
      </c>
      <c r="B842" s="15" t="s">
        <v>1721</v>
      </c>
      <c r="C842" s="19" t="s">
        <v>12</v>
      </c>
      <c r="D842" s="21" t="s">
        <v>1363</v>
      </c>
      <c r="E842" s="19" t="s">
        <v>1714</v>
      </c>
      <c r="F842" s="19" t="s">
        <v>1715</v>
      </c>
      <c r="G842" s="19" t="s">
        <v>1363</v>
      </c>
      <c r="H842" s="19" t="s">
        <v>1722</v>
      </c>
      <c r="I842" s="19"/>
      <c r="J842" s="19" t="s">
        <v>18</v>
      </c>
      <c r="K842" s="19" t="s">
        <v>18</v>
      </c>
      <c r="L842" s="19" t="s">
        <v>18</v>
      </c>
      <c r="M842" s="19" t="s">
        <v>19</v>
      </c>
      <c r="N842" s="19" t="s">
        <v>18</v>
      </c>
      <c r="O842" s="19" t="s">
        <v>19</v>
      </c>
      <c r="P842" s="19">
        <v>101.425</v>
      </c>
      <c r="Q842" s="19">
        <v>4.4513889999999998</v>
      </c>
      <c r="R842" s="19"/>
      <c r="S842" s="19" t="s">
        <v>20</v>
      </c>
    </row>
    <row r="843" spans="1:19" hidden="1" x14ac:dyDescent="0.25">
      <c r="A843" s="28">
        <v>4414037</v>
      </c>
      <c r="B843" s="15" t="s">
        <v>1723</v>
      </c>
      <c r="C843" s="19" t="s">
        <v>12</v>
      </c>
      <c r="D843" s="21" t="s">
        <v>1363</v>
      </c>
      <c r="E843" s="19" t="s">
        <v>1714</v>
      </c>
      <c r="F843" s="19" t="s">
        <v>1715</v>
      </c>
      <c r="G843" s="19" t="s">
        <v>1363</v>
      </c>
      <c r="H843" s="19" t="s">
        <v>1440</v>
      </c>
      <c r="I843" s="19"/>
      <c r="J843" s="19" t="s">
        <v>18</v>
      </c>
      <c r="K843" s="19" t="s">
        <v>18</v>
      </c>
      <c r="L843" s="19" t="s">
        <v>18</v>
      </c>
      <c r="M843" s="19" t="s">
        <v>19</v>
      </c>
      <c r="N843" s="19" t="s">
        <v>19</v>
      </c>
      <c r="O843" s="19" t="s">
        <v>19</v>
      </c>
      <c r="P843" s="19">
        <v>101.444444</v>
      </c>
      <c r="Q843" s="19">
        <v>4.4416669999999998</v>
      </c>
      <c r="R843" s="19"/>
      <c r="S843" s="19" t="s">
        <v>20</v>
      </c>
    </row>
    <row r="844" spans="1:19" hidden="1" x14ac:dyDescent="0.25">
      <c r="A844" s="28">
        <v>4414038</v>
      </c>
      <c r="B844" s="15" t="s">
        <v>1724</v>
      </c>
      <c r="C844" s="19" t="s">
        <v>12</v>
      </c>
      <c r="D844" s="21" t="s">
        <v>1363</v>
      </c>
      <c r="E844" s="19" t="s">
        <v>1714</v>
      </c>
      <c r="F844" s="19" t="s">
        <v>1715</v>
      </c>
      <c r="G844" s="19" t="s">
        <v>1363</v>
      </c>
      <c r="H844" s="19" t="s">
        <v>1440</v>
      </c>
      <c r="I844" s="19"/>
      <c r="J844" s="19" t="s">
        <v>18</v>
      </c>
      <c r="K844" s="19" t="s">
        <v>18</v>
      </c>
      <c r="L844" s="19" t="s">
        <v>18</v>
      </c>
      <c r="M844" s="19" t="s">
        <v>19</v>
      </c>
      <c r="N844" s="19" t="s">
        <v>19</v>
      </c>
      <c r="O844" s="19" t="s">
        <v>19</v>
      </c>
      <c r="P844" s="19">
        <v>101.452778</v>
      </c>
      <c r="Q844" s="19">
        <v>4.4486109999999996</v>
      </c>
      <c r="R844" s="19"/>
      <c r="S844" s="19" t="s">
        <v>20</v>
      </c>
    </row>
    <row r="845" spans="1:19" hidden="1" x14ac:dyDescent="0.25">
      <c r="A845" s="28">
        <v>4414040</v>
      </c>
      <c r="B845" s="15" t="s">
        <v>1725</v>
      </c>
      <c r="C845" s="19" t="s">
        <v>12</v>
      </c>
      <c r="D845" s="21" t="s">
        <v>1363</v>
      </c>
      <c r="E845" s="19" t="s">
        <v>1714</v>
      </c>
      <c r="F845" s="19" t="s">
        <v>1715</v>
      </c>
      <c r="G845" s="19" t="s">
        <v>1463</v>
      </c>
      <c r="H845" s="19"/>
      <c r="I845" s="19"/>
      <c r="J845" s="19" t="s">
        <v>19</v>
      </c>
      <c r="K845" s="19" t="s">
        <v>18</v>
      </c>
      <c r="L845" s="19" t="s">
        <v>19</v>
      </c>
      <c r="M845" s="19" t="s">
        <v>18</v>
      </c>
      <c r="N845" s="19" t="s">
        <v>19</v>
      </c>
      <c r="O845" s="19" t="s">
        <v>19</v>
      </c>
      <c r="P845" s="19">
        <v>101.42</v>
      </c>
      <c r="Q845" s="19">
        <v>4.45</v>
      </c>
      <c r="R845" s="19"/>
      <c r="S845" s="19"/>
    </row>
    <row r="846" spans="1:19" hidden="1" x14ac:dyDescent="0.25">
      <c r="A846" s="28">
        <v>4419047</v>
      </c>
      <c r="B846" s="15" t="s">
        <v>1726</v>
      </c>
      <c r="C846" s="19" t="s">
        <v>12</v>
      </c>
      <c r="D846" s="21" t="s">
        <v>1363</v>
      </c>
      <c r="E846" s="19" t="s">
        <v>1570</v>
      </c>
      <c r="F846" s="19" t="s">
        <v>1707</v>
      </c>
      <c r="G846" s="19" t="s">
        <v>1363</v>
      </c>
      <c r="H846" s="19" t="s">
        <v>1727</v>
      </c>
      <c r="I846" s="19"/>
      <c r="J846" s="19" t="s">
        <v>18</v>
      </c>
      <c r="K846" s="19" t="s">
        <v>18</v>
      </c>
      <c r="L846" s="19" t="s">
        <v>19</v>
      </c>
      <c r="M846" s="19" t="s">
        <v>19</v>
      </c>
      <c r="N846" s="19" t="s">
        <v>18</v>
      </c>
      <c r="O846" s="19" t="s">
        <v>19</v>
      </c>
      <c r="P846" s="19">
        <v>101.933333</v>
      </c>
      <c r="Q846" s="19">
        <v>4.4249999999999998</v>
      </c>
      <c r="R846" s="19"/>
      <c r="S846" s="19" t="s">
        <v>41</v>
      </c>
    </row>
    <row r="847" spans="1:19" hidden="1" x14ac:dyDescent="0.25">
      <c r="A847" s="28">
        <v>4424112</v>
      </c>
      <c r="B847" s="15" t="s">
        <v>1728</v>
      </c>
      <c r="C847" s="19" t="s">
        <v>12</v>
      </c>
      <c r="D847" s="21" t="s">
        <v>1363</v>
      </c>
      <c r="E847" s="19" t="s">
        <v>1573</v>
      </c>
      <c r="F847" s="19" t="s">
        <v>1689</v>
      </c>
      <c r="G847" s="19" t="s">
        <v>1363</v>
      </c>
      <c r="H847" s="19" t="s">
        <v>552</v>
      </c>
      <c r="I847" s="19"/>
      <c r="J847" s="19" t="s">
        <v>18</v>
      </c>
      <c r="K847" s="19" t="s">
        <v>18</v>
      </c>
      <c r="L847" s="19" t="s">
        <v>18</v>
      </c>
      <c r="M847" s="19" t="s">
        <v>19</v>
      </c>
      <c r="N847" s="19" t="s">
        <v>18</v>
      </c>
      <c r="O847" s="19" t="s">
        <v>19</v>
      </c>
      <c r="P847" s="19">
        <v>102.483333</v>
      </c>
      <c r="Q847" s="19">
        <v>4.4611109999999998</v>
      </c>
      <c r="R847" s="19"/>
      <c r="S847" s="19" t="s">
        <v>472</v>
      </c>
    </row>
    <row r="848" spans="1:19" hidden="1" x14ac:dyDescent="0.25">
      <c r="A848" s="28">
        <v>4426111</v>
      </c>
      <c r="B848" s="15" t="s">
        <v>1729</v>
      </c>
      <c r="C848" s="19" t="s">
        <v>12</v>
      </c>
      <c r="D848" s="21" t="s">
        <v>1363</v>
      </c>
      <c r="E848" s="19" t="s">
        <v>1573</v>
      </c>
      <c r="F848" s="19" t="s">
        <v>1689</v>
      </c>
      <c r="G848" s="19" t="s">
        <v>1363</v>
      </c>
      <c r="H848" s="19" t="s">
        <v>1083</v>
      </c>
      <c r="I848" s="19" t="s">
        <v>1730</v>
      </c>
      <c r="J848" s="19" t="s">
        <v>19</v>
      </c>
      <c r="K848" s="19" t="s">
        <v>19</v>
      </c>
      <c r="L848" s="19" t="s">
        <v>18</v>
      </c>
      <c r="M848" s="19" t="s">
        <v>19</v>
      </c>
      <c r="N848" s="19" t="s">
        <v>19</v>
      </c>
      <c r="O848" s="19" t="s">
        <v>19</v>
      </c>
      <c r="P848" s="19">
        <v>102.65138899999999</v>
      </c>
      <c r="Q848" s="19">
        <v>4.4986110000000004</v>
      </c>
      <c r="R848" s="19"/>
      <c r="S848" s="19" t="s">
        <v>41</v>
      </c>
    </row>
    <row r="849" spans="1:19" hidden="1" x14ac:dyDescent="0.25">
      <c r="A849" s="29">
        <v>4434093</v>
      </c>
      <c r="B849" s="25" t="s">
        <v>1889</v>
      </c>
      <c r="C849" s="26" t="s">
        <v>12</v>
      </c>
      <c r="D849" s="24" t="s">
        <v>1865</v>
      </c>
      <c r="E849" s="26" t="s">
        <v>1866</v>
      </c>
      <c r="F849" s="26"/>
      <c r="G849" s="26" t="s">
        <v>1890</v>
      </c>
      <c r="H849" s="26" t="s">
        <v>1048</v>
      </c>
      <c r="I849" s="26"/>
      <c r="J849" s="26" t="s">
        <v>18</v>
      </c>
      <c r="K849" s="26" t="s">
        <v>18</v>
      </c>
      <c r="L849" s="26" t="s">
        <v>19</v>
      </c>
      <c r="M849" s="26" t="s">
        <v>19</v>
      </c>
      <c r="N849" s="26" t="s">
        <v>18</v>
      </c>
      <c r="O849" s="26" t="s">
        <v>19</v>
      </c>
      <c r="P849" s="26">
        <v>103.45138900000001</v>
      </c>
      <c r="Q849" s="26">
        <v>4.427778</v>
      </c>
      <c r="R849" s="26" t="s">
        <v>472</v>
      </c>
      <c r="S849" s="26" t="s">
        <v>1870</v>
      </c>
    </row>
    <row r="850" spans="1:19" x14ac:dyDescent="0.25">
      <c r="A850" s="28">
        <v>4507036</v>
      </c>
      <c r="B850" s="15" t="s">
        <v>794</v>
      </c>
      <c r="C850" s="19" t="s">
        <v>12</v>
      </c>
      <c r="D850" s="21" t="s">
        <v>633</v>
      </c>
      <c r="E850" s="19" t="s">
        <v>795</v>
      </c>
      <c r="F850" s="19"/>
      <c r="G850" s="19" t="s">
        <v>796</v>
      </c>
      <c r="H850" s="19" t="s">
        <v>154</v>
      </c>
      <c r="I850" s="19"/>
      <c r="J850" s="19" t="s">
        <v>18</v>
      </c>
      <c r="K850" s="19" t="s">
        <v>18</v>
      </c>
      <c r="L850" s="19" t="s">
        <v>18</v>
      </c>
      <c r="M850" s="19" t="s">
        <v>19</v>
      </c>
      <c r="N850" s="19" t="s">
        <v>18</v>
      </c>
      <c r="O850" s="19" t="s">
        <v>19</v>
      </c>
      <c r="P850" s="19">
        <v>100.73611099999999</v>
      </c>
      <c r="Q850" s="19">
        <v>4.5999999999999996</v>
      </c>
      <c r="R850" s="19"/>
      <c r="S850" s="19" t="s">
        <v>20</v>
      </c>
    </row>
    <row r="851" spans="1:19" x14ac:dyDescent="0.25">
      <c r="A851" s="28">
        <v>4507037</v>
      </c>
      <c r="B851" s="15" t="s">
        <v>797</v>
      </c>
      <c r="C851" s="19" t="s">
        <v>12</v>
      </c>
      <c r="D851" s="21" t="s">
        <v>633</v>
      </c>
      <c r="E851" s="19" t="s">
        <v>795</v>
      </c>
      <c r="F851" s="19" t="s">
        <v>798</v>
      </c>
      <c r="G851" s="19" t="s">
        <v>778</v>
      </c>
      <c r="H851" s="19" t="s">
        <v>99</v>
      </c>
      <c r="I851" s="19"/>
      <c r="J851" s="19" t="s">
        <v>18</v>
      </c>
      <c r="K851" s="19" t="s">
        <v>18</v>
      </c>
      <c r="L851" s="19" t="s">
        <v>18</v>
      </c>
      <c r="M851" s="19" t="s">
        <v>19</v>
      </c>
      <c r="N851" s="19" t="s">
        <v>19</v>
      </c>
      <c r="O851" s="19" t="s">
        <v>19</v>
      </c>
      <c r="P851" s="19">
        <v>100.716667</v>
      </c>
      <c r="Q851" s="19">
        <v>4.5513890000000004</v>
      </c>
      <c r="R851" s="19"/>
      <c r="S851" s="19" t="s">
        <v>20</v>
      </c>
    </row>
    <row r="852" spans="1:19" x14ac:dyDescent="0.25">
      <c r="A852" s="28">
        <v>4508086</v>
      </c>
      <c r="B852" s="15" t="s">
        <v>799</v>
      </c>
      <c r="C852" s="19" t="s">
        <v>12</v>
      </c>
      <c r="D852" s="21" t="s">
        <v>633</v>
      </c>
      <c r="E852" s="19" t="s">
        <v>800</v>
      </c>
      <c r="F852" s="19" t="s">
        <v>648</v>
      </c>
      <c r="G852" s="19" t="s">
        <v>648</v>
      </c>
      <c r="H852" s="19" t="s">
        <v>40</v>
      </c>
      <c r="I852" s="19" t="s">
        <v>801</v>
      </c>
      <c r="J852" s="19" t="s">
        <v>19</v>
      </c>
      <c r="K852" s="19" t="s">
        <v>19</v>
      </c>
      <c r="L852" s="19" t="s">
        <v>18</v>
      </c>
      <c r="M852" s="19" t="s">
        <v>19</v>
      </c>
      <c r="N852" s="19" t="s">
        <v>19</v>
      </c>
      <c r="O852" s="19" t="s">
        <v>19</v>
      </c>
      <c r="P852" s="19">
        <v>100.87777800000001</v>
      </c>
      <c r="Q852" s="19">
        <v>4.5944440000000002</v>
      </c>
      <c r="R852" s="19"/>
      <c r="S852" s="19" t="s">
        <v>164</v>
      </c>
    </row>
    <row r="853" spans="1:19" x14ac:dyDescent="0.25">
      <c r="A853" s="28">
        <v>4508087</v>
      </c>
      <c r="B853" s="15" t="s">
        <v>802</v>
      </c>
      <c r="C853" s="19" t="s">
        <v>12</v>
      </c>
      <c r="D853" s="21" t="s">
        <v>633</v>
      </c>
      <c r="E853" s="19" t="s">
        <v>800</v>
      </c>
      <c r="F853" s="19" t="s">
        <v>803</v>
      </c>
      <c r="G853" s="19" t="s">
        <v>778</v>
      </c>
      <c r="H853" s="19" t="s">
        <v>139</v>
      </c>
      <c r="I853" s="19"/>
      <c r="J853" s="19" t="s">
        <v>19</v>
      </c>
      <c r="K853" s="19" t="s">
        <v>19</v>
      </c>
      <c r="L853" s="19" t="s">
        <v>18</v>
      </c>
      <c r="M853" s="19" t="s">
        <v>19</v>
      </c>
      <c r="N853" s="19" t="s">
        <v>19</v>
      </c>
      <c r="O853" s="19" t="s">
        <v>19</v>
      </c>
      <c r="P853" s="19">
        <v>100.870833</v>
      </c>
      <c r="Q853" s="19">
        <v>4.5222220000000002</v>
      </c>
      <c r="R853" s="19"/>
      <c r="S853" s="19" t="s">
        <v>20</v>
      </c>
    </row>
    <row r="854" spans="1:19" x14ac:dyDescent="0.25">
      <c r="A854" s="28">
        <v>4509088</v>
      </c>
      <c r="B854" s="15" t="s">
        <v>804</v>
      </c>
      <c r="C854" s="19" t="s">
        <v>12</v>
      </c>
      <c r="D854" s="21" t="s">
        <v>633</v>
      </c>
      <c r="E854" s="19" t="s">
        <v>800</v>
      </c>
      <c r="F854" s="19" t="s">
        <v>648</v>
      </c>
      <c r="G854" s="19" t="s">
        <v>648</v>
      </c>
      <c r="H854" s="19" t="s">
        <v>805</v>
      </c>
      <c r="I854" s="19"/>
      <c r="J854" s="19" t="s">
        <v>19</v>
      </c>
      <c r="K854" s="19" t="s">
        <v>19</v>
      </c>
      <c r="L854" s="19" t="s">
        <v>18</v>
      </c>
      <c r="M854" s="19" t="s">
        <v>19</v>
      </c>
      <c r="N854" s="19" t="s">
        <v>19</v>
      </c>
      <c r="O854" s="19" t="s">
        <v>19</v>
      </c>
      <c r="P854" s="19">
        <v>100.908333</v>
      </c>
      <c r="Q854" s="19">
        <v>4.526389</v>
      </c>
      <c r="R854" s="19"/>
      <c r="S854" s="19" t="s">
        <v>20</v>
      </c>
    </row>
    <row r="855" spans="1:19" x14ac:dyDescent="0.25">
      <c r="A855" s="28">
        <v>4510116</v>
      </c>
      <c r="B855" s="15" t="s">
        <v>806</v>
      </c>
      <c r="C855" s="19" t="s">
        <v>12</v>
      </c>
      <c r="D855" s="21" t="s">
        <v>633</v>
      </c>
      <c r="E855" s="19" t="s">
        <v>765</v>
      </c>
      <c r="F855" s="19" t="s">
        <v>768</v>
      </c>
      <c r="G855" s="19" t="s">
        <v>768</v>
      </c>
      <c r="H855" s="19" t="s">
        <v>807</v>
      </c>
      <c r="I855" s="19" t="s">
        <v>808</v>
      </c>
      <c r="J855" s="19" t="s">
        <v>19</v>
      </c>
      <c r="K855" s="19" t="s">
        <v>19</v>
      </c>
      <c r="L855" s="19" t="s">
        <v>19</v>
      </c>
      <c r="M855" s="19" t="s">
        <v>19</v>
      </c>
      <c r="N855" s="19" t="s">
        <v>18</v>
      </c>
      <c r="O855" s="19" t="s">
        <v>19</v>
      </c>
      <c r="P855" s="19">
        <v>101.083333</v>
      </c>
      <c r="Q855" s="19">
        <v>4.5972220000000004</v>
      </c>
      <c r="R855" s="19"/>
      <c r="S855" s="19" t="s">
        <v>41</v>
      </c>
    </row>
    <row r="856" spans="1:19" x14ac:dyDescent="0.25">
      <c r="A856" s="28">
        <v>4510117</v>
      </c>
      <c r="B856" s="15" t="s">
        <v>809</v>
      </c>
      <c r="C856" s="19" t="s">
        <v>12</v>
      </c>
      <c r="D856" s="21" t="s">
        <v>633</v>
      </c>
      <c r="E856" s="19" t="s">
        <v>765</v>
      </c>
      <c r="F856" s="19" t="s">
        <v>810</v>
      </c>
      <c r="G856" s="19" t="s">
        <v>768</v>
      </c>
      <c r="H856" s="19" t="s">
        <v>811</v>
      </c>
      <c r="I856" s="19"/>
      <c r="J856" s="19" t="s">
        <v>19</v>
      </c>
      <c r="K856" s="19" t="s">
        <v>19</v>
      </c>
      <c r="L856" s="19" t="s">
        <v>18</v>
      </c>
      <c r="M856" s="19" t="s">
        <v>19</v>
      </c>
      <c r="N856" s="19" t="s">
        <v>19</v>
      </c>
      <c r="O856" s="19" t="s">
        <v>19</v>
      </c>
      <c r="P856" s="19">
        <v>101.072222</v>
      </c>
      <c r="Q856" s="19">
        <v>4.5305559999999998</v>
      </c>
      <c r="R856" s="19"/>
      <c r="S856" s="19" t="s">
        <v>20</v>
      </c>
    </row>
    <row r="857" spans="1:19" x14ac:dyDescent="0.25">
      <c r="A857" s="28">
        <v>4510118</v>
      </c>
      <c r="B857" s="15" t="s">
        <v>812</v>
      </c>
      <c r="C857" s="19" t="s">
        <v>12</v>
      </c>
      <c r="D857" s="21" t="s">
        <v>633</v>
      </c>
      <c r="E857" s="19" t="s">
        <v>765</v>
      </c>
      <c r="F857" s="19" t="s">
        <v>765</v>
      </c>
      <c r="G857" s="19" t="s">
        <v>633</v>
      </c>
      <c r="H857" s="19"/>
      <c r="I857" s="19"/>
      <c r="J857" s="19" t="s">
        <v>19</v>
      </c>
      <c r="K857" s="19" t="s">
        <v>18</v>
      </c>
      <c r="L857" s="19" t="s">
        <v>19</v>
      </c>
      <c r="M857" s="19" t="s">
        <v>18</v>
      </c>
      <c r="N857" s="19" t="s">
        <v>19</v>
      </c>
      <c r="O857" s="19" t="s">
        <v>19</v>
      </c>
      <c r="P857" s="19">
        <v>101.06890300000001</v>
      </c>
      <c r="Q857" s="19">
        <v>4.5780609999999999</v>
      </c>
      <c r="R857" s="19"/>
      <c r="S857" s="19"/>
    </row>
    <row r="858" spans="1:19" x14ac:dyDescent="0.25">
      <c r="A858" s="28">
        <v>4511111</v>
      </c>
      <c r="B858" s="15" t="s">
        <v>813</v>
      </c>
      <c r="C858" s="19" t="s">
        <v>12</v>
      </c>
      <c r="D858" s="21" t="s">
        <v>633</v>
      </c>
      <c r="E858" s="19" t="s">
        <v>765</v>
      </c>
      <c r="F858" s="19" t="s">
        <v>810</v>
      </c>
      <c r="G858" s="19" t="s">
        <v>768</v>
      </c>
      <c r="H858" s="19" t="s">
        <v>516</v>
      </c>
      <c r="I858" s="19"/>
      <c r="J858" s="19" t="s">
        <v>18</v>
      </c>
      <c r="K858" s="19" t="s">
        <v>18</v>
      </c>
      <c r="L858" s="19" t="s">
        <v>19</v>
      </c>
      <c r="M858" s="19" t="s">
        <v>19</v>
      </c>
      <c r="N858" s="19" t="s">
        <v>18</v>
      </c>
      <c r="O858" s="19" t="s">
        <v>19</v>
      </c>
      <c r="P858" s="19">
        <v>101.125</v>
      </c>
      <c r="Q858" s="19">
        <v>4.588889</v>
      </c>
      <c r="R858" s="19"/>
      <c r="S858" s="19" t="s">
        <v>41</v>
      </c>
    </row>
    <row r="859" spans="1:19" x14ac:dyDescent="0.25">
      <c r="A859" s="28">
        <v>4511118</v>
      </c>
      <c r="B859" s="15" t="s">
        <v>814</v>
      </c>
      <c r="C859" s="19" t="s">
        <v>12</v>
      </c>
      <c r="D859" s="21" t="s">
        <v>633</v>
      </c>
      <c r="E859" s="19" t="s">
        <v>765</v>
      </c>
      <c r="F859" s="19" t="s">
        <v>810</v>
      </c>
      <c r="G859" s="19" t="s">
        <v>768</v>
      </c>
      <c r="H859" s="19" t="s">
        <v>815</v>
      </c>
      <c r="I859" s="19" t="s">
        <v>816</v>
      </c>
      <c r="J859" s="19" t="s">
        <v>19</v>
      </c>
      <c r="K859" s="19" t="s">
        <v>19</v>
      </c>
      <c r="L859" s="19" t="s">
        <v>18</v>
      </c>
      <c r="M859" s="19" t="s">
        <v>19</v>
      </c>
      <c r="N859" s="19" t="s">
        <v>19</v>
      </c>
      <c r="O859" s="19" t="s">
        <v>19</v>
      </c>
      <c r="P859" s="19">
        <v>101.15</v>
      </c>
      <c r="Q859" s="19">
        <v>4.536111</v>
      </c>
      <c r="R859" s="19"/>
      <c r="S859" s="19" t="s">
        <v>41</v>
      </c>
    </row>
    <row r="860" spans="1:19" hidden="1" x14ac:dyDescent="0.25">
      <c r="A860" s="28">
        <v>4513033</v>
      </c>
      <c r="B860" s="15" t="s">
        <v>1731</v>
      </c>
      <c r="C860" s="19" t="s">
        <v>12</v>
      </c>
      <c r="D860" s="21" t="s">
        <v>1363</v>
      </c>
      <c r="E860" s="19" t="s">
        <v>1714</v>
      </c>
      <c r="F860" s="19" t="s">
        <v>1732</v>
      </c>
      <c r="G860" s="19" t="s">
        <v>1363</v>
      </c>
      <c r="H860" s="19" t="s">
        <v>1733</v>
      </c>
      <c r="I860" s="19"/>
      <c r="J860" s="19" t="s">
        <v>18</v>
      </c>
      <c r="K860" s="19" t="s">
        <v>18</v>
      </c>
      <c r="L860" s="19" t="s">
        <v>19</v>
      </c>
      <c r="M860" s="19" t="s">
        <v>18</v>
      </c>
      <c r="N860" s="19" t="s">
        <v>18</v>
      </c>
      <c r="O860" s="19" t="s">
        <v>19</v>
      </c>
      <c r="P860" s="19">
        <v>101.38333299999999</v>
      </c>
      <c r="Q860" s="19">
        <v>4.516667</v>
      </c>
      <c r="R860" s="19"/>
      <c r="S860" s="19" t="s">
        <v>41</v>
      </c>
    </row>
    <row r="861" spans="1:19" hidden="1" x14ac:dyDescent="0.25">
      <c r="A861" s="28">
        <v>4514031</v>
      </c>
      <c r="B861" s="15" t="s">
        <v>1734</v>
      </c>
      <c r="C861" s="19" t="s">
        <v>12</v>
      </c>
      <c r="D861" s="21" t="s">
        <v>1363</v>
      </c>
      <c r="E861" s="19" t="s">
        <v>1714</v>
      </c>
      <c r="F861" s="19" t="s">
        <v>1732</v>
      </c>
      <c r="G861" s="19" t="s">
        <v>1363</v>
      </c>
      <c r="H861" s="19" t="s">
        <v>1440</v>
      </c>
      <c r="I861" s="19"/>
      <c r="J861" s="19" t="s">
        <v>18</v>
      </c>
      <c r="K861" s="19" t="s">
        <v>18</v>
      </c>
      <c r="L861" s="19" t="s">
        <v>18</v>
      </c>
      <c r="M861" s="19" t="s">
        <v>19</v>
      </c>
      <c r="N861" s="19" t="s">
        <v>19</v>
      </c>
      <c r="O861" s="19" t="s">
        <v>19</v>
      </c>
      <c r="P861" s="19">
        <v>101.419444</v>
      </c>
      <c r="Q861" s="19">
        <v>4.5861109999999998</v>
      </c>
      <c r="R861" s="19"/>
      <c r="S861" s="19" t="s">
        <v>20</v>
      </c>
    </row>
    <row r="862" spans="1:19" hidden="1" x14ac:dyDescent="0.25">
      <c r="A862" s="28">
        <v>4514032</v>
      </c>
      <c r="B862" s="15" t="s">
        <v>1735</v>
      </c>
      <c r="C862" s="19" t="s">
        <v>12</v>
      </c>
      <c r="D862" s="21" t="s">
        <v>1363</v>
      </c>
      <c r="E862" s="19" t="s">
        <v>1714</v>
      </c>
      <c r="F862" s="19" t="s">
        <v>1732</v>
      </c>
      <c r="G862" s="19" t="s">
        <v>1363</v>
      </c>
      <c r="H862" s="19" t="s">
        <v>1736</v>
      </c>
      <c r="I862" s="19"/>
      <c r="J862" s="19" t="s">
        <v>18</v>
      </c>
      <c r="K862" s="19" t="s">
        <v>18</v>
      </c>
      <c r="L862" s="19" t="s">
        <v>18</v>
      </c>
      <c r="M862" s="19" t="s">
        <v>19</v>
      </c>
      <c r="N862" s="19" t="s">
        <v>19</v>
      </c>
      <c r="O862" s="19" t="s">
        <v>19</v>
      </c>
      <c r="P862" s="19">
        <v>101.416667</v>
      </c>
      <c r="Q862" s="19">
        <v>4.516667</v>
      </c>
      <c r="R862" s="19"/>
      <c r="S862" s="19" t="s">
        <v>20</v>
      </c>
    </row>
    <row r="863" spans="1:19" hidden="1" x14ac:dyDescent="0.25">
      <c r="A863" s="28">
        <v>4514035</v>
      </c>
      <c r="B863" s="15" t="s">
        <v>1737</v>
      </c>
      <c r="C863" s="19" t="s">
        <v>12</v>
      </c>
      <c r="D863" s="21" t="s">
        <v>1363</v>
      </c>
      <c r="E863" s="19" t="s">
        <v>1714</v>
      </c>
      <c r="F863" s="19" t="s">
        <v>1738</v>
      </c>
      <c r="G863" s="19" t="s">
        <v>1463</v>
      </c>
      <c r="H863" s="19"/>
      <c r="I863" s="19"/>
      <c r="J863" s="19" t="s">
        <v>19</v>
      </c>
      <c r="K863" s="19" t="s">
        <v>18</v>
      </c>
      <c r="L863" s="19" t="s">
        <v>19</v>
      </c>
      <c r="M863" s="19" t="s">
        <v>18</v>
      </c>
      <c r="N863" s="19" t="s">
        <v>19</v>
      </c>
      <c r="O863" s="19" t="s">
        <v>19</v>
      </c>
      <c r="P863" s="19">
        <v>101.41</v>
      </c>
      <c r="Q863" s="19">
        <v>4.57</v>
      </c>
      <c r="R863" s="19"/>
      <c r="S863" s="19"/>
    </row>
    <row r="864" spans="1:19" hidden="1" x14ac:dyDescent="0.25">
      <c r="A864" s="29">
        <v>4529001</v>
      </c>
      <c r="B864" s="25" t="s">
        <v>1891</v>
      </c>
      <c r="C864" s="26" t="s">
        <v>12</v>
      </c>
      <c r="D864" s="24" t="s">
        <v>1865</v>
      </c>
      <c r="E864" s="26" t="s">
        <v>1892</v>
      </c>
      <c r="F864" s="26"/>
      <c r="G864" s="26" t="s">
        <v>1892</v>
      </c>
      <c r="H864" s="26" t="s">
        <v>116</v>
      </c>
      <c r="I864" s="26"/>
      <c r="J864" s="26" t="s">
        <v>18</v>
      </c>
      <c r="K864" s="26" t="s">
        <v>18</v>
      </c>
      <c r="L864" s="26" t="s">
        <v>19</v>
      </c>
      <c r="M864" s="26" t="s">
        <v>19</v>
      </c>
      <c r="N864" s="26" t="s">
        <v>18</v>
      </c>
      <c r="O864" s="26" t="s">
        <v>19</v>
      </c>
      <c r="P864" s="26">
        <v>102.98</v>
      </c>
      <c r="Q864" s="26">
        <v>4.5680560000000003</v>
      </c>
      <c r="R864" s="26" t="s">
        <v>41</v>
      </c>
      <c r="S864" s="26" t="s">
        <v>1870</v>
      </c>
    </row>
    <row r="865" spans="1:19" hidden="1" x14ac:dyDescent="0.25">
      <c r="A865" s="29">
        <v>4529071</v>
      </c>
      <c r="B865" s="25" t="s">
        <v>1893</v>
      </c>
      <c r="C865" s="26" t="s">
        <v>12</v>
      </c>
      <c r="D865" s="24" t="s">
        <v>1865</v>
      </c>
      <c r="E865" s="26" t="s">
        <v>1892</v>
      </c>
      <c r="F865" s="26" t="s">
        <v>1894</v>
      </c>
      <c r="G865" s="26" t="s">
        <v>1892</v>
      </c>
      <c r="H865" s="26" t="s">
        <v>1141</v>
      </c>
      <c r="I865" s="26" t="s">
        <v>1876</v>
      </c>
      <c r="J865" s="26" t="s">
        <v>19</v>
      </c>
      <c r="K865" s="26" t="s">
        <v>19</v>
      </c>
      <c r="L865" s="26" t="s">
        <v>19</v>
      </c>
      <c r="M865" s="26" t="s">
        <v>19</v>
      </c>
      <c r="N865" s="26" t="s">
        <v>18</v>
      </c>
      <c r="O865" s="26" t="s">
        <v>19</v>
      </c>
      <c r="P865" s="26">
        <v>102.97361100000001</v>
      </c>
      <c r="Q865" s="26">
        <v>4.5638889999999996</v>
      </c>
      <c r="R865" s="26" t="s">
        <v>41</v>
      </c>
      <c r="S865" s="26" t="s">
        <v>1870</v>
      </c>
    </row>
    <row r="866" spans="1:19" hidden="1" x14ac:dyDescent="0.25">
      <c r="A866" s="29">
        <v>4533001</v>
      </c>
      <c r="B866" s="25" t="s">
        <v>1895</v>
      </c>
      <c r="C866" s="26" t="s">
        <v>12</v>
      </c>
      <c r="D866" s="24" t="s">
        <v>1865</v>
      </c>
      <c r="E866" s="26" t="s">
        <v>1866</v>
      </c>
      <c r="F866" s="26" t="s">
        <v>1896</v>
      </c>
      <c r="G866" s="26" t="s">
        <v>1890</v>
      </c>
      <c r="H866" s="26" t="s">
        <v>1748</v>
      </c>
      <c r="I866" s="26" t="s">
        <v>820</v>
      </c>
      <c r="J866" s="26" t="s">
        <v>19</v>
      </c>
      <c r="K866" s="26" t="s">
        <v>19</v>
      </c>
      <c r="L866" s="26" t="s">
        <v>18</v>
      </c>
      <c r="M866" s="26" t="s">
        <v>19</v>
      </c>
      <c r="N866" s="26" t="s">
        <v>19</v>
      </c>
      <c r="O866" s="26" t="s">
        <v>19</v>
      </c>
      <c r="P866" s="26">
        <v>103.319444</v>
      </c>
      <c r="Q866" s="26">
        <v>4.5736109999999996</v>
      </c>
      <c r="R866" s="26" t="s">
        <v>41</v>
      </c>
      <c r="S866" s="26" t="s">
        <v>1870</v>
      </c>
    </row>
    <row r="867" spans="1:19" ht="30" hidden="1" x14ac:dyDescent="0.25">
      <c r="A867" s="29">
        <v>4534092</v>
      </c>
      <c r="B867" s="25" t="s">
        <v>2652</v>
      </c>
      <c r="C867" s="26" t="s">
        <v>12</v>
      </c>
      <c r="D867" s="24" t="s">
        <v>1865</v>
      </c>
      <c r="E867" s="26" t="s">
        <v>1866</v>
      </c>
      <c r="F867" s="26"/>
      <c r="G867" s="26" t="s">
        <v>1890</v>
      </c>
      <c r="H867" s="26" t="s">
        <v>1048</v>
      </c>
      <c r="I867" s="26"/>
      <c r="J867" s="26" t="s">
        <v>18</v>
      </c>
      <c r="K867" s="26" t="s">
        <v>18</v>
      </c>
      <c r="L867" s="26" t="s">
        <v>19</v>
      </c>
      <c r="M867" s="26" t="s">
        <v>19</v>
      </c>
      <c r="N867" s="26" t="s">
        <v>18</v>
      </c>
      <c r="O867" s="26" t="s">
        <v>19</v>
      </c>
      <c r="P867" s="26">
        <v>103.444444</v>
      </c>
      <c r="Q867" s="26">
        <v>4.5083330000000004</v>
      </c>
      <c r="R867" s="26" t="s">
        <v>472</v>
      </c>
      <c r="S867" s="26" t="s">
        <v>1870</v>
      </c>
    </row>
    <row r="868" spans="1:19" x14ac:dyDescent="0.25">
      <c r="A868" s="28">
        <v>4608001</v>
      </c>
      <c r="B868" s="15" t="s">
        <v>817</v>
      </c>
      <c r="C868" s="19" t="s">
        <v>12</v>
      </c>
      <c r="D868" s="21" t="s">
        <v>633</v>
      </c>
      <c r="E868" s="19" t="s">
        <v>800</v>
      </c>
      <c r="F868" s="19" t="s">
        <v>648</v>
      </c>
      <c r="G868" s="19" t="s">
        <v>648</v>
      </c>
      <c r="H868" s="19" t="s">
        <v>801</v>
      </c>
      <c r="I868" s="19" t="s">
        <v>818</v>
      </c>
      <c r="J868" s="19" t="s">
        <v>19</v>
      </c>
      <c r="K868" s="19" t="s">
        <v>19</v>
      </c>
      <c r="L868" s="19" t="s">
        <v>18</v>
      </c>
      <c r="M868" s="19" t="s">
        <v>19</v>
      </c>
      <c r="N868" s="19" t="s">
        <v>19</v>
      </c>
      <c r="O868" s="19" t="s">
        <v>19</v>
      </c>
      <c r="P868" s="19">
        <v>100.869444</v>
      </c>
      <c r="Q868" s="19">
        <v>4.6194439999999997</v>
      </c>
      <c r="R868" s="19"/>
      <c r="S868" s="19" t="s">
        <v>544</v>
      </c>
    </row>
    <row r="869" spans="1:19" x14ac:dyDescent="0.25">
      <c r="A869" s="28">
        <v>4609001</v>
      </c>
      <c r="B869" s="15" t="s">
        <v>819</v>
      </c>
      <c r="C869" s="19" t="s">
        <v>12</v>
      </c>
      <c r="D869" s="21" t="s">
        <v>633</v>
      </c>
      <c r="E869" s="19" t="s">
        <v>800</v>
      </c>
      <c r="F869" s="19" t="s">
        <v>648</v>
      </c>
      <c r="G869" s="19" t="s">
        <v>648</v>
      </c>
      <c r="H869" s="19" t="s">
        <v>533</v>
      </c>
      <c r="I869" s="19" t="s">
        <v>820</v>
      </c>
      <c r="J869" s="19" t="s">
        <v>19</v>
      </c>
      <c r="K869" s="19" t="s">
        <v>19</v>
      </c>
      <c r="L869" s="19" t="s">
        <v>18</v>
      </c>
      <c r="M869" s="19" t="s">
        <v>19</v>
      </c>
      <c r="N869" s="19" t="s">
        <v>19</v>
      </c>
      <c r="O869" s="19" t="s">
        <v>19</v>
      </c>
      <c r="P869" s="19">
        <v>100.90138899999999</v>
      </c>
      <c r="Q869" s="19">
        <v>4.651389</v>
      </c>
      <c r="R869" s="19"/>
      <c r="S869" s="19" t="s">
        <v>41</v>
      </c>
    </row>
    <row r="870" spans="1:19" x14ac:dyDescent="0.25">
      <c r="A870" s="28">
        <v>4609085</v>
      </c>
      <c r="B870" s="15" t="s">
        <v>821</v>
      </c>
      <c r="C870" s="19" t="s">
        <v>12</v>
      </c>
      <c r="D870" s="21" t="s">
        <v>633</v>
      </c>
      <c r="E870" s="19" t="s">
        <v>800</v>
      </c>
      <c r="F870" s="19" t="s">
        <v>648</v>
      </c>
      <c r="G870" s="19" t="s">
        <v>648</v>
      </c>
      <c r="H870" s="19" t="s">
        <v>548</v>
      </c>
      <c r="I870" s="19" t="s">
        <v>822</v>
      </c>
      <c r="J870" s="19" t="s">
        <v>19</v>
      </c>
      <c r="K870" s="19" t="s">
        <v>19</v>
      </c>
      <c r="L870" s="19" t="s">
        <v>18</v>
      </c>
      <c r="M870" s="19" t="s">
        <v>19</v>
      </c>
      <c r="N870" s="19" t="s">
        <v>19</v>
      </c>
      <c r="O870" s="19" t="s">
        <v>19</v>
      </c>
      <c r="P870" s="19">
        <v>100.905556</v>
      </c>
      <c r="Q870" s="19">
        <v>4.6194439999999997</v>
      </c>
      <c r="R870" s="19"/>
      <c r="S870" s="19" t="s">
        <v>20</v>
      </c>
    </row>
    <row r="871" spans="1:19" x14ac:dyDescent="0.25">
      <c r="A871" s="28">
        <v>4610112</v>
      </c>
      <c r="B871" s="15" t="s">
        <v>823</v>
      </c>
      <c r="C871" s="19" t="s">
        <v>12</v>
      </c>
      <c r="D871" s="21" t="s">
        <v>633</v>
      </c>
      <c r="E871" s="19" t="s">
        <v>765</v>
      </c>
      <c r="F871" s="19" t="s">
        <v>824</v>
      </c>
      <c r="G871" s="19" t="s">
        <v>768</v>
      </c>
      <c r="H871" s="19" t="s">
        <v>825</v>
      </c>
      <c r="I871" s="19"/>
      <c r="J871" s="19" t="s">
        <v>18</v>
      </c>
      <c r="K871" s="19" t="s">
        <v>18</v>
      </c>
      <c r="L871" s="19" t="s">
        <v>18</v>
      </c>
      <c r="M871" s="19" t="s">
        <v>19</v>
      </c>
      <c r="N871" s="19" t="s">
        <v>18</v>
      </c>
      <c r="O871" s="19" t="s">
        <v>19</v>
      </c>
      <c r="P871" s="19">
        <v>101.080556</v>
      </c>
      <c r="Q871" s="19">
        <v>4.6805560000000002</v>
      </c>
      <c r="R871" s="19"/>
      <c r="S871" s="19" t="s">
        <v>20</v>
      </c>
    </row>
    <row r="872" spans="1:19" x14ac:dyDescent="0.25">
      <c r="A872" s="28">
        <v>4610116</v>
      </c>
      <c r="B872" s="15" t="s">
        <v>826</v>
      </c>
      <c r="C872" s="19" t="s">
        <v>12</v>
      </c>
      <c r="D872" s="21" t="s">
        <v>633</v>
      </c>
      <c r="E872" s="19" t="s">
        <v>765</v>
      </c>
      <c r="F872" s="19" t="s">
        <v>768</v>
      </c>
      <c r="G872" s="19" t="s">
        <v>768</v>
      </c>
      <c r="H872" s="19" t="s">
        <v>827</v>
      </c>
      <c r="I872" s="19"/>
      <c r="J872" s="19" t="s">
        <v>19</v>
      </c>
      <c r="K872" s="19" t="s">
        <v>19</v>
      </c>
      <c r="L872" s="19" t="s">
        <v>18</v>
      </c>
      <c r="M872" s="19" t="s">
        <v>19</v>
      </c>
      <c r="N872" s="19" t="s">
        <v>19</v>
      </c>
      <c r="O872" s="19" t="s">
        <v>19</v>
      </c>
      <c r="P872" s="19">
        <v>101.08888899999999</v>
      </c>
      <c r="Q872" s="19">
        <v>4.6027779999999998</v>
      </c>
      <c r="R872" s="19"/>
      <c r="S872" s="19" t="s">
        <v>279</v>
      </c>
    </row>
    <row r="873" spans="1:19" x14ac:dyDescent="0.25">
      <c r="A873" s="28">
        <v>4611001</v>
      </c>
      <c r="B873" s="15" t="s">
        <v>828</v>
      </c>
      <c r="C873" s="19" t="s">
        <v>12</v>
      </c>
      <c r="D873" s="21" t="s">
        <v>633</v>
      </c>
      <c r="E873" s="19" t="s">
        <v>765</v>
      </c>
      <c r="F873" s="19" t="s">
        <v>768</v>
      </c>
      <c r="G873" s="19" t="s">
        <v>768</v>
      </c>
      <c r="H873" s="19" t="s">
        <v>769</v>
      </c>
      <c r="I873" s="19"/>
      <c r="J873" s="19" t="s">
        <v>18</v>
      </c>
      <c r="K873" s="19" t="s">
        <v>18</v>
      </c>
      <c r="L873" s="19" t="s">
        <v>19</v>
      </c>
      <c r="M873" s="19" t="s">
        <v>19</v>
      </c>
      <c r="N873" s="19" t="s">
        <v>18</v>
      </c>
      <c r="O873" s="19" t="s">
        <v>19</v>
      </c>
      <c r="P873" s="19">
        <v>101.169444</v>
      </c>
      <c r="Q873" s="19">
        <v>4.6805560000000002</v>
      </c>
      <c r="R873" s="19"/>
      <c r="S873" s="19" t="s">
        <v>41</v>
      </c>
    </row>
    <row r="874" spans="1:19" x14ac:dyDescent="0.25">
      <c r="A874" s="28">
        <v>4611002</v>
      </c>
      <c r="B874" s="15" t="s">
        <v>829</v>
      </c>
      <c r="C874" s="19" t="s">
        <v>12</v>
      </c>
      <c r="D874" s="21" t="s">
        <v>633</v>
      </c>
      <c r="E874" s="19" t="s">
        <v>765</v>
      </c>
      <c r="F874" s="19" t="s">
        <v>765</v>
      </c>
      <c r="G874" s="19" t="s">
        <v>633</v>
      </c>
      <c r="H874" s="19"/>
      <c r="I874" s="19"/>
      <c r="J874" s="19" t="s">
        <v>19</v>
      </c>
      <c r="K874" s="19" t="s">
        <v>18</v>
      </c>
      <c r="L874" s="19" t="s">
        <v>19</v>
      </c>
      <c r="M874" s="19" t="s">
        <v>18</v>
      </c>
      <c r="N874" s="19" t="s">
        <v>19</v>
      </c>
      <c r="O874" s="19" t="s">
        <v>19</v>
      </c>
      <c r="P874" s="19">
        <v>101.157006</v>
      </c>
      <c r="Q874" s="19">
        <v>4.6680419999999998</v>
      </c>
      <c r="R874" s="19"/>
      <c r="S874" s="19"/>
    </row>
    <row r="875" spans="1:19" x14ac:dyDescent="0.25">
      <c r="A875" s="28">
        <v>4611114</v>
      </c>
      <c r="B875" s="15" t="s">
        <v>830</v>
      </c>
      <c r="C875" s="19" t="s">
        <v>12</v>
      </c>
      <c r="D875" s="21" t="s">
        <v>633</v>
      </c>
      <c r="E875" s="19" t="s">
        <v>765</v>
      </c>
      <c r="F875" s="19" t="s">
        <v>768</v>
      </c>
      <c r="G875" s="19" t="s">
        <v>768</v>
      </c>
      <c r="H875" s="19" t="s">
        <v>468</v>
      </c>
      <c r="I875" s="19" t="s">
        <v>254</v>
      </c>
      <c r="J875" s="19" t="s">
        <v>19</v>
      </c>
      <c r="K875" s="19" t="s">
        <v>19</v>
      </c>
      <c r="L875" s="19" t="s">
        <v>18</v>
      </c>
      <c r="M875" s="19" t="s">
        <v>19</v>
      </c>
      <c r="N875" s="19" t="s">
        <v>19</v>
      </c>
      <c r="O875" s="19" t="s">
        <v>19</v>
      </c>
      <c r="P875" s="19">
        <v>101.175</v>
      </c>
      <c r="Q875" s="19">
        <v>4.6541670000000002</v>
      </c>
      <c r="R875" s="19"/>
      <c r="S875" s="19" t="s">
        <v>164</v>
      </c>
    </row>
    <row r="876" spans="1:19" x14ac:dyDescent="0.25">
      <c r="A876" s="28">
        <v>4611115</v>
      </c>
      <c r="B876" s="15" t="s">
        <v>831</v>
      </c>
      <c r="C876" s="19" t="s">
        <v>12</v>
      </c>
      <c r="D876" s="21" t="s">
        <v>633</v>
      </c>
      <c r="E876" s="19" t="s">
        <v>765</v>
      </c>
      <c r="F876" s="19" t="s">
        <v>768</v>
      </c>
      <c r="G876" s="19" t="s">
        <v>768</v>
      </c>
      <c r="H876" s="19" t="s">
        <v>832</v>
      </c>
      <c r="I876" s="19" t="s">
        <v>833</v>
      </c>
      <c r="J876" s="19" t="s">
        <v>19</v>
      </c>
      <c r="K876" s="19" t="s">
        <v>19</v>
      </c>
      <c r="L876" s="19" t="s">
        <v>18</v>
      </c>
      <c r="M876" s="19" t="s">
        <v>19</v>
      </c>
      <c r="N876" s="19" t="s">
        <v>19</v>
      </c>
      <c r="O876" s="19" t="s">
        <v>19</v>
      </c>
      <c r="P876" s="19">
        <v>101.154167</v>
      </c>
      <c r="Q876" s="19">
        <v>4.6749999999999998</v>
      </c>
      <c r="R876" s="19"/>
      <c r="S876" s="19" t="s">
        <v>279</v>
      </c>
    </row>
    <row r="877" spans="1:19" hidden="1" x14ac:dyDescent="0.25">
      <c r="A877" s="28">
        <v>4614001</v>
      </c>
      <c r="B877" s="15" t="s">
        <v>975</v>
      </c>
      <c r="C877" s="19" t="s">
        <v>12</v>
      </c>
      <c r="D877" s="21" t="s">
        <v>976</v>
      </c>
      <c r="E877" s="19" t="s">
        <v>977</v>
      </c>
      <c r="F877" s="19" t="s">
        <v>978</v>
      </c>
      <c r="G877" s="19" t="s">
        <v>976</v>
      </c>
      <c r="H877" s="19" t="s">
        <v>979</v>
      </c>
      <c r="I877" s="19"/>
      <c r="J877" s="19" t="s">
        <v>18</v>
      </c>
      <c r="K877" s="19" t="s">
        <v>18</v>
      </c>
      <c r="L877" s="19" t="s">
        <v>19</v>
      </c>
      <c r="M877" s="19" t="s">
        <v>19</v>
      </c>
      <c r="N877" s="19" t="s">
        <v>18</v>
      </c>
      <c r="O877" s="19"/>
      <c r="P877" s="19">
        <v>101.484722</v>
      </c>
      <c r="Q877" s="19">
        <v>4.6763890000000004</v>
      </c>
      <c r="R877" s="19"/>
      <c r="S877" s="19" t="s">
        <v>41</v>
      </c>
    </row>
    <row r="878" spans="1:19" hidden="1" x14ac:dyDescent="0.25">
      <c r="A878" s="28">
        <v>4614002</v>
      </c>
      <c r="B878" s="15" t="s">
        <v>980</v>
      </c>
      <c r="C878" s="19" t="s">
        <v>12</v>
      </c>
      <c r="D878" s="21" t="s">
        <v>976</v>
      </c>
      <c r="E878" s="19" t="s">
        <v>977</v>
      </c>
      <c r="F878" s="19"/>
      <c r="G878" s="19" t="s">
        <v>976</v>
      </c>
      <c r="H878" s="19"/>
      <c r="I878" s="19"/>
      <c r="J878" s="19" t="s">
        <v>18</v>
      </c>
      <c r="K878" s="19" t="s">
        <v>18</v>
      </c>
      <c r="L878" s="19" t="s">
        <v>19</v>
      </c>
      <c r="M878" s="19" t="s">
        <v>19</v>
      </c>
      <c r="N878" s="19" t="s">
        <v>18</v>
      </c>
      <c r="O878" s="19"/>
      <c r="P878" s="19">
        <v>101.4</v>
      </c>
      <c r="Q878" s="19">
        <v>4.5999999999999996</v>
      </c>
      <c r="R878" s="19"/>
      <c r="S878" s="19" t="s">
        <v>41</v>
      </c>
    </row>
    <row r="879" spans="1:19" hidden="1" x14ac:dyDescent="0.25">
      <c r="A879" s="28">
        <v>4620045</v>
      </c>
      <c r="B879" s="15" t="s">
        <v>1739</v>
      </c>
      <c r="C879" s="19" t="s">
        <v>12</v>
      </c>
      <c r="D879" s="21" t="s">
        <v>1363</v>
      </c>
      <c r="E879" s="19" t="s">
        <v>1570</v>
      </c>
      <c r="F879" s="19" t="s">
        <v>1707</v>
      </c>
      <c r="G879" s="19" t="s">
        <v>1363</v>
      </c>
      <c r="H879" s="19" t="s">
        <v>1740</v>
      </c>
      <c r="I879" s="19"/>
      <c r="J879" s="19" t="s">
        <v>18</v>
      </c>
      <c r="K879" s="19" t="s">
        <v>18</v>
      </c>
      <c r="L879" s="19" t="s">
        <v>18</v>
      </c>
      <c r="M879" s="19" t="s">
        <v>19</v>
      </c>
      <c r="N879" s="19" t="s">
        <v>18</v>
      </c>
      <c r="O879" s="19" t="s">
        <v>19</v>
      </c>
      <c r="P879" s="19">
        <v>102.00833299999999</v>
      </c>
      <c r="Q879" s="19">
        <v>4.677778</v>
      </c>
      <c r="R879" s="19"/>
      <c r="S879" s="19" t="s">
        <v>41</v>
      </c>
    </row>
    <row r="880" spans="1:19" hidden="1" x14ac:dyDescent="0.25">
      <c r="A880" s="28">
        <v>4620046</v>
      </c>
      <c r="B880" s="15" t="s">
        <v>1741</v>
      </c>
      <c r="C880" s="19" t="s">
        <v>12</v>
      </c>
      <c r="D880" s="21" t="s">
        <v>1363</v>
      </c>
      <c r="E880" s="19" t="s">
        <v>1570</v>
      </c>
      <c r="F880" s="19"/>
      <c r="G880" s="19" t="s">
        <v>1363</v>
      </c>
      <c r="H880" s="19" t="s">
        <v>1742</v>
      </c>
      <c r="I880" s="19"/>
      <c r="J880" s="19" t="s">
        <v>19</v>
      </c>
      <c r="K880" s="19" t="s">
        <v>18</v>
      </c>
      <c r="L880" s="19" t="s">
        <v>19</v>
      </c>
      <c r="M880" s="19" t="s">
        <v>18</v>
      </c>
      <c r="N880" s="19" t="s">
        <v>18</v>
      </c>
      <c r="O880" s="19" t="s">
        <v>19</v>
      </c>
      <c r="P880" s="19">
        <v>102.005</v>
      </c>
      <c r="Q880" s="19">
        <v>4.6944439999999998</v>
      </c>
      <c r="R880" s="19"/>
      <c r="S880" s="19" t="s">
        <v>41</v>
      </c>
    </row>
    <row r="881" spans="1:19" hidden="1" x14ac:dyDescent="0.25">
      <c r="A881" s="29">
        <v>4628001</v>
      </c>
      <c r="B881" s="25" t="s">
        <v>1897</v>
      </c>
      <c r="C881" s="26" t="s">
        <v>12</v>
      </c>
      <c r="D881" s="24" t="s">
        <v>1865</v>
      </c>
      <c r="E881" s="26" t="s">
        <v>1898</v>
      </c>
      <c r="F881" s="26" t="s">
        <v>1899</v>
      </c>
      <c r="G881" s="26" t="s">
        <v>1900</v>
      </c>
      <c r="H881" s="26"/>
      <c r="I881" s="26"/>
      <c r="J881" s="26" t="s">
        <v>19</v>
      </c>
      <c r="K881" s="26" t="s">
        <v>18</v>
      </c>
      <c r="L881" s="26" t="s">
        <v>19</v>
      </c>
      <c r="M881" s="26" t="s">
        <v>18</v>
      </c>
      <c r="N881" s="26" t="s">
        <v>19</v>
      </c>
      <c r="O881" s="26" t="s">
        <v>19</v>
      </c>
      <c r="P881" s="26">
        <v>102.818611</v>
      </c>
      <c r="Q881" s="26">
        <v>4.6033330000000001</v>
      </c>
      <c r="R881" s="26"/>
      <c r="S881" s="26" t="s">
        <v>1870</v>
      </c>
    </row>
    <row r="882" spans="1:19" hidden="1" x14ac:dyDescent="0.25">
      <c r="A882" s="29">
        <v>4631001</v>
      </c>
      <c r="B882" s="25" t="s">
        <v>1901</v>
      </c>
      <c r="C882" s="26" t="s">
        <v>12</v>
      </c>
      <c r="D882" s="24" t="s">
        <v>1865</v>
      </c>
      <c r="E882" s="26" t="s">
        <v>1892</v>
      </c>
      <c r="F882" s="26"/>
      <c r="G882" s="26" t="s">
        <v>1902</v>
      </c>
      <c r="H882" s="26" t="s">
        <v>1431</v>
      </c>
      <c r="I882" s="26"/>
      <c r="J882" s="26" t="s">
        <v>18</v>
      </c>
      <c r="K882" s="26" t="s">
        <v>18</v>
      </c>
      <c r="L882" s="26" t="s">
        <v>19</v>
      </c>
      <c r="M882" s="26" t="s">
        <v>19</v>
      </c>
      <c r="N882" s="26" t="s">
        <v>18</v>
      </c>
      <c r="O882" s="26" t="s">
        <v>19</v>
      </c>
      <c r="P882" s="26">
        <v>103.198611</v>
      </c>
      <c r="Q882" s="26">
        <v>4.6138890000000004</v>
      </c>
      <c r="R882" s="26" t="s">
        <v>41</v>
      </c>
      <c r="S882" s="26" t="s">
        <v>1870</v>
      </c>
    </row>
    <row r="883" spans="1:19" hidden="1" x14ac:dyDescent="0.25">
      <c r="A883" s="29">
        <v>4634085</v>
      </c>
      <c r="B883" s="25" t="s">
        <v>1903</v>
      </c>
      <c r="C883" s="26" t="s">
        <v>12</v>
      </c>
      <c r="D883" s="24" t="s">
        <v>1865</v>
      </c>
      <c r="E883" s="26" t="s">
        <v>1892</v>
      </c>
      <c r="F883" s="26"/>
      <c r="G883" s="26" t="s">
        <v>1902</v>
      </c>
      <c r="H883" s="26" t="s">
        <v>1048</v>
      </c>
      <c r="I883" s="26"/>
      <c r="J883" s="26" t="s">
        <v>18</v>
      </c>
      <c r="K883" s="26" t="s">
        <v>18</v>
      </c>
      <c r="L883" s="26" t="s">
        <v>19</v>
      </c>
      <c r="M883" s="26" t="s">
        <v>19</v>
      </c>
      <c r="N883" s="26" t="s">
        <v>18</v>
      </c>
      <c r="O883" s="26" t="s">
        <v>19</v>
      </c>
      <c r="P883" s="26">
        <v>103.4375</v>
      </c>
      <c r="Q883" s="26">
        <v>4.6361109999999996</v>
      </c>
      <c r="R883" s="26" t="s">
        <v>279</v>
      </c>
      <c r="S883" s="26" t="s">
        <v>1870</v>
      </c>
    </row>
    <row r="884" spans="1:19" x14ac:dyDescent="0.25">
      <c r="A884" s="28">
        <v>4707033</v>
      </c>
      <c r="B884" s="15" t="s">
        <v>834</v>
      </c>
      <c r="C884" s="19" t="s">
        <v>12</v>
      </c>
      <c r="D884" s="21" t="s">
        <v>633</v>
      </c>
      <c r="E884" s="19" t="s">
        <v>795</v>
      </c>
      <c r="F884" s="19" t="s">
        <v>835</v>
      </c>
      <c r="G884" s="19" t="s">
        <v>836</v>
      </c>
      <c r="H884" s="19" t="s">
        <v>837</v>
      </c>
      <c r="I884" s="19"/>
      <c r="J884" s="19" t="s">
        <v>18</v>
      </c>
      <c r="K884" s="19" t="s">
        <v>18</v>
      </c>
      <c r="L884" s="19" t="s">
        <v>18</v>
      </c>
      <c r="M884" s="19" t="s">
        <v>19</v>
      </c>
      <c r="N884" s="19" t="s">
        <v>19</v>
      </c>
      <c r="O884" s="19" t="s">
        <v>19</v>
      </c>
      <c r="P884" s="19">
        <v>100.766667</v>
      </c>
      <c r="Q884" s="19">
        <v>4.776389</v>
      </c>
      <c r="R884" s="19"/>
      <c r="S884" s="19" t="s">
        <v>41</v>
      </c>
    </row>
    <row r="885" spans="1:19" x14ac:dyDescent="0.25">
      <c r="A885" s="28">
        <v>4707034</v>
      </c>
      <c r="B885" s="15" t="s">
        <v>838</v>
      </c>
      <c r="C885" s="19" t="s">
        <v>12</v>
      </c>
      <c r="D885" s="21" t="s">
        <v>633</v>
      </c>
      <c r="E885" s="19" t="s">
        <v>795</v>
      </c>
      <c r="F885" s="19" t="s">
        <v>839</v>
      </c>
      <c r="G885" s="19" t="s">
        <v>840</v>
      </c>
      <c r="H885" s="19" t="s">
        <v>46</v>
      </c>
      <c r="I885" s="19"/>
      <c r="J885" s="19" t="s">
        <v>18</v>
      </c>
      <c r="K885" s="19" t="s">
        <v>18</v>
      </c>
      <c r="L885" s="19" t="s">
        <v>18</v>
      </c>
      <c r="M885" s="19" t="s">
        <v>19</v>
      </c>
      <c r="N885" s="19" t="s">
        <v>19</v>
      </c>
      <c r="O885" s="19" t="s">
        <v>19</v>
      </c>
      <c r="P885" s="19">
        <v>100.719444</v>
      </c>
      <c r="Q885" s="19">
        <v>4.7152779999999996</v>
      </c>
      <c r="R885" s="19"/>
      <c r="S885" s="19" t="s">
        <v>20</v>
      </c>
    </row>
    <row r="886" spans="1:19" x14ac:dyDescent="0.25">
      <c r="A886" s="28">
        <v>4707035</v>
      </c>
      <c r="B886" s="15" t="s">
        <v>841</v>
      </c>
      <c r="C886" s="19" t="s">
        <v>12</v>
      </c>
      <c r="D886" s="21" t="s">
        <v>633</v>
      </c>
      <c r="E886" s="19" t="s">
        <v>795</v>
      </c>
      <c r="F886" s="19" t="s">
        <v>796</v>
      </c>
      <c r="G886" s="19" t="s">
        <v>842</v>
      </c>
      <c r="H886" s="19" t="s">
        <v>46</v>
      </c>
      <c r="I886" s="19"/>
      <c r="J886" s="19" t="s">
        <v>18</v>
      </c>
      <c r="K886" s="19" t="s">
        <v>18</v>
      </c>
      <c r="L886" s="19" t="s">
        <v>18</v>
      </c>
      <c r="M886" s="19" t="s">
        <v>19</v>
      </c>
      <c r="N886" s="19" t="s">
        <v>19</v>
      </c>
      <c r="O886" s="19" t="s">
        <v>19</v>
      </c>
      <c r="P886" s="19">
        <v>100.709722</v>
      </c>
      <c r="Q886" s="19">
        <v>4.7027780000000003</v>
      </c>
      <c r="R886" s="19"/>
      <c r="S886" s="19" t="s">
        <v>20</v>
      </c>
    </row>
    <row r="887" spans="1:19" x14ac:dyDescent="0.25">
      <c r="A887" s="28">
        <v>4708082</v>
      </c>
      <c r="B887" s="15" t="s">
        <v>843</v>
      </c>
      <c r="C887" s="19" t="s">
        <v>12</v>
      </c>
      <c r="D887" s="21" t="s">
        <v>633</v>
      </c>
      <c r="E887" s="19" t="s">
        <v>800</v>
      </c>
      <c r="F887" s="19" t="s">
        <v>844</v>
      </c>
      <c r="G887" s="19" t="s">
        <v>648</v>
      </c>
      <c r="H887" s="19" t="s">
        <v>145</v>
      </c>
      <c r="I887" s="19"/>
      <c r="J887" s="19" t="s">
        <v>18</v>
      </c>
      <c r="K887" s="19" t="s">
        <v>18</v>
      </c>
      <c r="L887" s="19" t="s">
        <v>19</v>
      </c>
      <c r="M887" s="19" t="s">
        <v>19</v>
      </c>
      <c r="N887" s="19" t="s">
        <v>18</v>
      </c>
      <c r="O887" s="19" t="s">
        <v>19</v>
      </c>
      <c r="P887" s="19">
        <v>100.825</v>
      </c>
      <c r="Q887" s="19">
        <v>4.7625000000000002</v>
      </c>
      <c r="R887" s="19"/>
      <c r="S887" s="19" t="s">
        <v>20</v>
      </c>
    </row>
    <row r="888" spans="1:19" x14ac:dyDescent="0.25">
      <c r="A888" s="28">
        <v>4708083</v>
      </c>
      <c r="B888" s="15" t="s">
        <v>845</v>
      </c>
      <c r="C888" s="19" t="s">
        <v>12</v>
      </c>
      <c r="D888" s="21" t="s">
        <v>633</v>
      </c>
      <c r="E888" s="19" t="s">
        <v>800</v>
      </c>
      <c r="F888" s="19" t="s">
        <v>844</v>
      </c>
      <c r="G888" s="19" t="s">
        <v>648</v>
      </c>
      <c r="H888" s="19" t="s">
        <v>154</v>
      </c>
      <c r="I888" s="19"/>
      <c r="J888" s="19" t="s">
        <v>18</v>
      </c>
      <c r="K888" s="19" t="s">
        <v>18</v>
      </c>
      <c r="L888" s="19" t="s">
        <v>18</v>
      </c>
      <c r="M888" s="19" t="s">
        <v>19</v>
      </c>
      <c r="N888" s="19" t="s">
        <v>19</v>
      </c>
      <c r="O888" s="19" t="s">
        <v>19</v>
      </c>
      <c r="P888" s="19">
        <v>100.884722</v>
      </c>
      <c r="Q888" s="19">
        <v>4.7805559999999998</v>
      </c>
      <c r="R888" s="19"/>
      <c r="S888" s="19" t="s">
        <v>20</v>
      </c>
    </row>
    <row r="889" spans="1:19" x14ac:dyDescent="0.25">
      <c r="A889" s="28">
        <v>4708084</v>
      </c>
      <c r="B889" s="15" t="s">
        <v>846</v>
      </c>
      <c r="C889" s="19" t="s">
        <v>12</v>
      </c>
      <c r="D889" s="21" t="s">
        <v>633</v>
      </c>
      <c r="E889" s="19" t="s">
        <v>800</v>
      </c>
      <c r="F889" s="19" t="s">
        <v>844</v>
      </c>
      <c r="G889" s="19" t="s">
        <v>648</v>
      </c>
      <c r="H889" s="19" t="s">
        <v>847</v>
      </c>
      <c r="I889" s="19"/>
      <c r="J889" s="19" t="s">
        <v>18</v>
      </c>
      <c r="K889" s="19" t="s">
        <v>18</v>
      </c>
      <c r="L889" s="19" t="s">
        <v>19</v>
      </c>
      <c r="M889" s="19" t="s">
        <v>19</v>
      </c>
      <c r="N889" s="19" t="s">
        <v>18</v>
      </c>
      <c r="O889" s="19" t="s">
        <v>19</v>
      </c>
      <c r="P889" s="19">
        <v>100.89444399999999</v>
      </c>
      <c r="Q889" s="19">
        <v>4.7750000000000004</v>
      </c>
      <c r="R889" s="19"/>
      <c r="S889" s="19" t="s">
        <v>41</v>
      </c>
    </row>
    <row r="890" spans="1:19" x14ac:dyDescent="0.25">
      <c r="A890" s="28">
        <v>4709001</v>
      </c>
      <c r="B890" s="15" t="s">
        <v>848</v>
      </c>
      <c r="C890" s="19" t="s">
        <v>12</v>
      </c>
      <c r="D890" s="21" t="s">
        <v>633</v>
      </c>
      <c r="E890" s="19" t="s">
        <v>800</v>
      </c>
      <c r="F890" s="19" t="s">
        <v>648</v>
      </c>
      <c r="G890" s="19" t="s">
        <v>648</v>
      </c>
      <c r="H890" s="19" t="s">
        <v>849</v>
      </c>
      <c r="I890" s="19" t="s">
        <v>850</v>
      </c>
      <c r="J890" s="19" t="s">
        <v>19</v>
      </c>
      <c r="K890" s="19" t="s">
        <v>19</v>
      </c>
      <c r="L890" s="19" t="s">
        <v>19</v>
      </c>
      <c r="M890" s="19" t="s">
        <v>19</v>
      </c>
      <c r="N890" s="19" t="s">
        <v>18</v>
      </c>
      <c r="O890" s="19" t="s">
        <v>19</v>
      </c>
      <c r="P890" s="19">
        <v>100.943056</v>
      </c>
      <c r="Q890" s="19">
        <v>4.7750000000000004</v>
      </c>
      <c r="R890" s="19"/>
      <c r="S890" s="19" t="s">
        <v>41</v>
      </c>
    </row>
    <row r="891" spans="1:19" x14ac:dyDescent="0.25">
      <c r="A891" s="28">
        <v>4709084</v>
      </c>
      <c r="B891" s="15" t="s">
        <v>851</v>
      </c>
      <c r="C891" s="19" t="s">
        <v>12</v>
      </c>
      <c r="D891" s="21" t="s">
        <v>633</v>
      </c>
      <c r="E891" s="19" t="s">
        <v>800</v>
      </c>
      <c r="F891" s="19" t="s">
        <v>844</v>
      </c>
      <c r="G891" s="19" t="s">
        <v>648</v>
      </c>
      <c r="H891" s="19" t="s">
        <v>691</v>
      </c>
      <c r="I891" s="19" t="s">
        <v>849</v>
      </c>
      <c r="J891" s="19" t="s">
        <v>19</v>
      </c>
      <c r="K891" s="19" t="s">
        <v>19</v>
      </c>
      <c r="L891" s="19" t="s">
        <v>18</v>
      </c>
      <c r="M891" s="19" t="s">
        <v>19</v>
      </c>
      <c r="N891" s="19" t="s">
        <v>19</v>
      </c>
      <c r="O891" s="19" t="s">
        <v>19</v>
      </c>
      <c r="P891" s="19">
        <v>100.938889</v>
      </c>
      <c r="Q891" s="19">
        <v>4.7750000000000004</v>
      </c>
      <c r="R891" s="19"/>
      <c r="S891" s="19" t="s">
        <v>279</v>
      </c>
    </row>
    <row r="892" spans="1:19" x14ac:dyDescent="0.25">
      <c r="A892" s="28">
        <v>4710081</v>
      </c>
      <c r="B892" s="15" t="s">
        <v>852</v>
      </c>
      <c r="C892" s="19" t="s">
        <v>12</v>
      </c>
      <c r="D892" s="21" t="s">
        <v>633</v>
      </c>
      <c r="E892" s="19" t="s">
        <v>800</v>
      </c>
      <c r="F892" s="19" t="s">
        <v>853</v>
      </c>
      <c r="G892" s="19" t="s">
        <v>648</v>
      </c>
      <c r="H892" s="19" t="s">
        <v>299</v>
      </c>
      <c r="I892" s="19"/>
      <c r="J892" s="19" t="s">
        <v>18</v>
      </c>
      <c r="K892" s="19" t="s">
        <v>18</v>
      </c>
      <c r="L892" s="19" t="s">
        <v>18</v>
      </c>
      <c r="M892" s="19" t="s">
        <v>19</v>
      </c>
      <c r="N892" s="19" t="s">
        <v>19</v>
      </c>
      <c r="O892" s="19" t="s">
        <v>19</v>
      </c>
      <c r="P892" s="19">
        <v>101.069444</v>
      </c>
      <c r="Q892" s="19">
        <v>4.7972219999999997</v>
      </c>
      <c r="R892" s="19"/>
      <c r="S892" s="19" t="s">
        <v>164</v>
      </c>
    </row>
    <row r="893" spans="1:19" x14ac:dyDescent="0.25">
      <c r="A893" s="28">
        <v>4711113</v>
      </c>
      <c r="B893" s="15" t="s">
        <v>854</v>
      </c>
      <c r="C893" s="19" t="s">
        <v>12</v>
      </c>
      <c r="D893" s="21" t="s">
        <v>633</v>
      </c>
      <c r="E893" s="19" t="s">
        <v>765</v>
      </c>
      <c r="F893" s="19" t="s">
        <v>855</v>
      </c>
      <c r="G893" s="19" t="s">
        <v>768</v>
      </c>
      <c r="H893" s="19" t="s">
        <v>666</v>
      </c>
      <c r="I893" s="19"/>
      <c r="J893" s="19" t="s">
        <v>18</v>
      </c>
      <c r="K893" s="19" t="s">
        <v>18</v>
      </c>
      <c r="L893" s="19" t="s">
        <v>18</v>
      </c>
      <c r="M893" s="19" t="s">
        <v>19</v>
      </c>
      <c r="N893" s="19" t="s">
        <v>18</v>
      </c>
      <c r="O893" s="19" t="s">
        <v>19</v>
      </c>
      <c r="P893" s="19">
        <v>101.130556</v>
      </c>
      <c r="Q893" s="19">
        <v>4.7361110000000002</v>
      </c>
      <c r="R893" s="19"/>
      <c r="S893" s="19" t="s">
        <v>20</v>
      </c>
    </row>
    <row r="894" spans="1:19" hidden="1" x14ac:dyDescent="0.25">
      <c r="A894" s="28">
        <v>4717001</v>
      </c>
      <c r="B894" s="15" t="s">
        <v>981</v>
      </c>
      <c r="C894" s="19" t="s">
        <v>12</v>
      </c>
      <c r="D894" s="21" t="s">
        <v>976</v>
      </c>
      <c r="E894" s="19" t="s">
        <v>977</v>
      </c>
      <c r="F894" s="19" t="s">
        <v>982</v>
      </c>
      <c r="G894" s="19" t="s">
        <v>976</v>
      </c>
      <c r="H894" s="19" t="s">
        <v>979</v>
      </c>
      <c r="I894" s="19"/>
      <c r="J894" s="19" t="s">
        <v>18</v>
      </c>
      <c r="K894" s="19" t="s">
        <v>18</v>
      </c>
      <c r="L894" s="19" t="s">
        <v>19</v>
      </c>
      <c r="M894" s="19" t="s">
        <v>19</v>
      </c>
      <c r="N894" s="19" t="s">
        <v>18</v>
      </c>
      <c r="O894" s="19"/>
      <c r="P894" s="19">
        <v>101.756944</v>
      </c>
      <c r="Q894" s="19">
        <v>4.766667</v>
      </c>
      <c r="R894" s="19"/>
      <c r="S894" s="19" t="s">
        <v>41</v>
      </c>
    </row>
    <row r="895" spans="1:19" hidden="1" x14ac:dyDescent="0.25">
      <c r="A895" s="28">
        <v>4720026</v>
      </c>
      <c r="B895" s="15" t="s">
        <v>983</v>
      </c>
      <c r="C895" s="19" t="s">
        <v>12</v>
      </c>
      <c r="D895" s="21" t="s">
        <v>976</v>
      </c>
      <c r="E895" s="19" t="s">
        <v>977</v>
      </c>
      <c r="F895" s="19" t="s">
        <v>982</v>
      </c>
      <c r="G895" s="19" t="s">
        <v>976</v>
      </c>
      <c r="H895" s="19" t="s">
        <v>984</v>
      </c>
      <c r="I895" s="19"/>
      <c r="J895" s="19" t="s">
        <v>18</v>
      </c>
      <c r="K895" s="19" t="s">
        <v>18</v>
      </c>
      <c r="L895" s="19" t="s">
        <v>19</v>
      </c>
      <c r="M895" s="19" t="s">
        <v>19</v>
      </c>
      <c r="N895" s="19" t="s">
        <v>18</v>
      </c>
      <c r="O895" s="19"/>
      <c r="P895" s="19">
        <v>102.016667</v>
      </c>
      <c r="Q895" s="19">
        <v>4.7555560000000003</v>
      </c>
      <c r="R895" s="19"/>
      <c r="S895" s="19" t="s">
        <v>20</v>
      </c>
    </row>
    <row r="896" spans="1:19" hidden="1" x14ac:dyDescent="0.25">
      <c r="A896" s="28">
        <v>4721001</v>
      </c>
      <c r="B896" s="15" t="s">
        <v>985</v>
      </c>
      <c r="C896" s="19" t="s">
        <v>12</v>
      </c>
      <c r="D896" s="21" t="s">
        <v>976</v>
      </c>
      <c r="E896" s="19" t="s">
        <v>977</v>
      </c>
      <c r="F896" s="19" t="s">
        <v>982</v>
      </c>
      <c r="G896" s="19" t="s">
        <v>976</v>
      </c>
      <c r="H896" s="19" t="s">
        <v>986</v>
      </c>
      <c r="I896" s="19"/>
      <c r="J896" s="19" t="s">
        <v>18</v>
      </c>
      <c r="K896" s="19" t="s">
        <v>18</v>
      </c>
      <c r="L896" s="19" t="s">
        <v>19</v>
      </c>
      <c r="M896" s="19" t="s">
        <v>19</v>
      </c>
      <c r="N896" s="19" t="s">
        <v>18</v>
      </c>
      <c r="O896" s="19"/>
      <c r="P896" s="19">
        <v>102.17361099999999</v>
      </c>
      <c r="Q896" s="19">
        <v>4.7652780000000003</v>
      </c>
      <c r="R896" s="19"/>
      <c r="S896" s="19" t="s">
        <v>41</v>
      </c>
    </row>
    <row r="897" spans="1:19" hidden="1" x14ac:dyDescent="0.25">
      <c r="A897" s="28">
        <v>4726001</v>
      </c>
      <c r="B897" s="15" t="s">
        <v>987</v>
      </c>
      <c r="C897" s="19" t="s">
        <v>12</v>
      </c>
      <c r="D897" s="21" t="s">
        <v>976</v>
      </c>
      <c r="E897" s="19" t="s">
        <v>977</v>
      </c>
      <c r="F897" s="19" t="s">
        <v>988</v>
      </c>
      <c r="G897" s="19" t="s">
        <v>976</v>
      </c>
      <c r="H897" s="19" t="s">
        <v>387</v>
      </c>
      <c r="I897" s="19"/>
      <c r="J897" s="19" t="s">
        <v>18</v>
      </c>
      <c r="K897" s="19" t="s">
        <v>18</v>
      </c>
      <c r="L897" s="19" t="s">
        <v>19</v>
      </c>
      <c r="M897" s="19" t="s">
        <v>18</v>
      </c>
      <c r="N897" s="19" t="s">
        <v>18</v>
      </c>
      <c r="O897" s="19"/>
      <c r="P897" s="19">
        <v>102.655556</v>
      </c>
      <c r="Q897" s="19">
        <v>4.7569439999999998</v>
      </c>
      <c r="R897" s="19"/>
      <c r="S897" s="19" t="s">
        <v>41</v>
      </c>
    </row>
    <row r="898" spans="1:19" hidden="1" x14ac:dyDescent="0.25">
      <c r="A898" s="29">
        <v>4730002</v>
      </c>
      <c r="B898" s="25" t="s">
        <v>1904</v>
      </c>
      <c r="C898" s="26" t="s">
        <v>12</v>
      </c>
      <c r="D898" s="24" t="s">
        <v>1865</v>
      </c>
      <c r="E898" s="26" t="s">
        <v>1892</v>
      </c>
      <c r="F898" s="26"/>
      <c r="G898" s="26" t="s">
        <v>1892</v>
      </c>
      <c r="H898" s="26" t="s">
        <v>116</v>
      </c>
      <c r="I898" s="26"/>
      <c r="J898" s="26" t="s">
        <v>18</v>
      </c>
      <c r="K898" s="26" t="s">
        <v>18</v>
      </c>
      <c r="L898" s="26" t="s">
        <v>19</v>
      </c>
      <c r="M898" s="26" t="s">
        <v>18</v>
      </c>
      <c r="N898" s="26" t="s">
        <v>18</v>
      </c>
      <c r="O898" s="26" t="s">
        <v>19</v>
      </c>
      <c r="P898" s="26">
        <v>103.08750000000001</v>
      </c>
      <c r="Q898" s="26">
        <v>4.7347219999999997</v>
      </c>
      <c r="R898" s="26"/>
      <c r="S898" s="26" t="s">
        <v>1870</v>
      </c>
    </row>
    <row r="899" spans="1:19" hidden="1" x14ac:dyDescent="0.25">
      <c r="A899" s="29">
        <v>4731083</v>
      </c>
      <c r="B899" s="25" t="s">
        <v>1905</v>
      </c>
      <c r="C899" s="26" t="s">
        <v>12</v>
      </c>
      <c r="D899" s="24" t="s">
        <v>1865</v>
      </c>
      <c r="E899" s="26" t="s">
        <v>1892</v>
      </c>
      <c r="F899" s="26" t="s">
        <v>1894</v>
      </c>
      <c r="G899" s="26" t="s">
        <v>1892</v>
      </c>
      <c r="H899" s="26" t="s">
        <v>1048</v>
      </c>
      <c r="I899" s="26" t="s">
        <v>820</v>
      </c>
      <c r="J899" s="26" t="s">
        <v>19</v>
      </c>
      <c r="K899" s="26" t="s">
        <v>19</v>
      </c>
      <c r="L899" s="26" t="s">
        <v>18</v>
      </c>
      <c r="M899" s="26" t="s">
        <v>19</v>
      </c>
      <c r="N899" s="26" t="s">
        <v>19</v>
      </c>
      <c r="O899" s="26" t="s">
        <v>19</v>
      </c>
      <c r="P899" s="26">
        <v>103.191667</v>
      </c>
      <c r="Q899" s="26">
        <v>4.7583330000000004</v>
      </c>
      <c r="R899" s="26" t="s">
        <v>472</v>
      </c>
      <c r="S899" s="26" t="s">
        <v>1870</v>
      </c>
    </row>
    <row r="900" spans="1:19" hidden="1" x14ac:dyDescent="0.25">
      <c r="A900" s="29">
        <v>4733084</v>
      </c>
      <c r="B900" s="25" t="s">
        <v>1906</v>
      </c>
      <c r="C900" s="26" t="s">
        <v>12</v>
      </c>
      <c r="D900" s="24" t="s">
        <v>1865</v>
      </c>
      <c r="E900" s="26" t="s">
        <v>1892</v>
      </c>
      <c r="F900" s="26" t="s">
        <v>1907</v>
      </c>
      <c r="G900" s="26" t="s">
        <v>1902</v>
      </c>
      <c r="H900" s="26" t="s">
        <v>1081</v>
      </c>
      <c r="I900" s="26" t="s">
        <v>820</v>
      </c>
      <c r="J900" s="26" t="s">
        <v>19</v>
      </c>
      <c r="K900" s="26" t="s">
        <v>19</v>
      </c>
      <c r="L900" s="26" t="s">
        <v>18</v>
      </c>
      <c r="M900" s="26" t="s">
        <v>19</v>
      </c>
      <c r="N900" s="26" t="s">
        <v>19</v>
      </c>
      <c r="O900" s="26" t="s">
        <v>19</v>
      </c>
      <c r="P900" s="26">
        <v>103.308333</v>
      </c>
      <c r="Q900" s="26">
        <v>4.7263890000000002</v>
      </c>
      <c r="R900" s="26" t="s">
        <v>41</v>
      </c>
      <c r="S900" s="26" t="s">
        <v>1870</v>
      </c>
    </row>
    <row r="901" spans="1:19" hidden="1" x14ac:dyDescent="0.25">
      <c r="A901" s="29">
        <v>4734079</v>
      </c>
      <c r="B901" s="25" t="s">
        <v>1908</v>
      </c>
      <c r="C901" s="26" t="s">
        <v>12</v>
      </c>
      <c r="D901" s="24" t="s">
        <v>1865</v>
      </c>
      <c r="E901" s="26" t="s">
        <v>1892</v>
      </c>
      <c r="F901" s="26" t="s">
        <v>1894</v>
      </c>
      <c r="G901" s="26" t="s">
        <v>1894</v>
      </c>
      <c r="H901" s="26" t="s">
        <v>1881</v>
      </c>
      <c r="I901" s="26"/>
      <c r="J901" s="26" t="s">
        <v>18</v>
      </c>
      <c r="K901" s="26" t="s">
        <v>18</v>
      </c>
      <c r="L901" s="26" t="s">
        <v>19</v>
      </c>
      <c r="M901" s="26" t="s">
        <v>18</v>
      </c>
      <c r="N901" s="26" t="s">
        <v>18</v>
      </c>
      <c r="O901" s="26" t="s">
        <v>19</v>
      </c>
      <c r="P901" s="26">
        <v>103.419444</v>
      </c>
      <c r="Q901" s="26">
        <v>4.7625000000000002</v>
      </c>
      <c r="R901" s="26" t="s">
        <v>41</v>
      </c>
      <c r="S901" s="26" t="s">
        <v>1870</v>
      </c>
    </row>
    <row r="902" spans="1:19" x14ac:dyDescent="0.25">
      <c r="A902" s="28">
        <v>4806032</v>
      </c>
      <c r="B902" s="15" t="s">
        <v>856</v>
      </c>
      <c r="C902" s="19" t="s">
        <v>12</v>
      </c>
      <c r="D902" s="21" t="s">
        <v>633</v>
      </c>
      <c r="E902" s="19" t="s">
        <v>795</v>
      </c>
      <c r="F902" s="19" t="s">
        <v>842</v>
      </c>
      <c r="G902" s="19" t="s">
        <v>842</v>
      </c>
      <c r="H902" s="19" t="s">
        <v>837</v>
      </c>
      <c r="I902" s="19"/>
      <c r="J902" s="19" t="s">
        <v>18</v>
      </c>
      <c r="K902" s="19" t="s">
        <v>18</v>
      </c>
      <c r="L902" s="19" t="s">
        <v>18</v>
      </c>
      <c r="M902" s="19" t="s">
        <v>19</v>
      </c>
      <c r="N902" s="19" t="s">
        <v>19</v>
      </c>
      <c r="O902" s="19" t="s">
        <v>19</v>
      </c>
      <c r="P902" s="19">
        <v>100.677778</v>
      </c>
      <c r="Q902" s="19">
        <v>4.8152780000000002</v>
      </c>
      <c r="R902" s="19"/>
      <c r="S902" s="19" t="s">
        <v>41</v>
      </c>
    </row>
    <row r="903" spans="1:19" x14ac:dyDescent="0.25">
      <c r="A903" s="28">
        <v>4807014</v>
      </c>
      <c r="B903" s="15" t="s">
        <v>857</v>
      </c>
      <c r="C903" s="19" t="s">
        <v>12</v>
      </c>
      <c r="D903" s="21" t="s">
        <v>633</v>
      </c>
      <c r="E903" s="19" t="s">
        <v>795</v>
      </c>
      <c r="F903" s="19" t="s">
        <v>858</v>
      </c>
      <c r="G903" s="19" t="s">
        <v>842</v>
      </c>
      <c r="H903" s="19" t="s">
        <v>859</v>
      </c>
      <c r="I903" s="19"/>
      <c r="J903" s="19" t="s">
        <v>18</v>
      </c>
      <c r="K903" s="19" t="s">
        <v>18</v>
      </c>
      <c r="L903" s="19" t="s">
        <v>18</v>
      </c>
      <c r="M903" s="19" t="s">
        <v>19</v>
      </c>
      <c r="N903" s="19" t="s">
        <v>19</v>
      </c>
      <c r="O903" s="19" t="s">
        <v>19</v>
      </c>
      <c r="P903" s="19">
        <v>100.720833</v>
      </c>
      <c r="Q903" s="19">
        <v>4.8611110000000002</v>
      </c>
      <c r="R903" s="19"/>
      <c r="S903" s="19" t="s">
        <v>164</v>
      </c>
    </row>
    <row r="904" spans="1:19" x14ac:dyDescent="0.25">
      <c r="A904" s="28">
        <v>4807015</v>
      </c>
      <c r="B904" s="15" t="s">
        <v>860</v>
      </c>
      <c r="C904" s="19" t="s">
        <v>12</v>
      </c>
      <c r="D904" s="21" t="s">
        <v>633</v>
      </c>
      <c r="E904" s="19" t="s">
        <v>795</v>
      </c>
      <c r="F904" s="19" t="s">
        <v>858</v>
      </c>
      <c r="G904" s="19" t="s">
        <v>842</v>
      </c>
      <c r="H904" s="19" t="s">
        <v>861</v>
      </c>
      <c r="I904" s="19"/>
      <c r="J904" s="19" t="s">
        <v>18</v>
      </c>
      <c r="K904" s="19" t="s">
        <v>18</v>
      </c>
      <c r="L904" s="19" t="s">
        <v>18</v>
      </c>
      <c r="M904" s="19" t="s">
        <v>19</v>
      </c>
      <c r="N904" s="19" t="s">
        <v>19</v>
      </c>
      <c r="O904" s="19" t="s">
        <v>19</v>
      </c>
      <c r="P904" s="19">
        <v>100.759722</v>
      </c>
      <c r="Q904" s="19">
        <v>4.8666669999999996</v>
      </c>
      <c r="R904" s="19"/>
      <c r="S904" s="19" t="s">
        <v>164</v>
      </c>
    </row>
    <row r="905" spans="1:19" x14ac:dyDescent="0.25">
      <c r="A905" s="28">
        <v>4807016</v>
      </c>
      <c r="B905" s="15" t="s">
        <v>862</v>
      </c>
      <c r="C905" s="19" t="s">
        <v>12</v>
      </c>
      <c r="D905" s="21" t="s">
        <v>633</v>
      </c>
      <c r="E905" s="19" t="s">
        <v>795</v>
      </c>
      <c r="F905" s="19" t="s">
        <v>858</v>
      </c>
      <c r="G905" s="19" t="s">
        <v>842</v>
      </c>
      <c r="H905" s="19" t="s">
        <v>773</v>
      </c>
      <c r="I905" s="19"/>
      <c r="J905" s="19" t="s">
        <v>18</v>
      </c>
      <c r="K905" s="19" t="s">
        <v>18</v>
      </c>
      <c r="L905" s="19" t="s">
        <v>19</v>
      </c>
      <c r="M905" s="19" t="s">
        <v>18</v>
      </c>
      <c r="N905" s="19" t="s">
        <v>18</v>
      </c>
      <c r="O905" s="19" t="s">
        <v>19</v>
      </c>
      <c r="P905" s="19">
        <v>100.79305600000001</v>
      </c>
      <c r="Q905" s="19">
        <v>4.8624999999999998</v>
      </c>
      <c r="R905" s="19"/>
      <c r="S905" s="19" t="s">
        <v>41</v>
      </c>
    </row>
    <row r="906" spans="1:19" x14ac:dyDescent="0.25">
      <c r="A906" s="28">
        <v>4807031</v>
      </c>
      <c r="B906" s="15" t="s">
        <v>863</v>
      </c>
      <c r="C906" s="19" t="s">
        <v>12</v>
      </c>
      <c r="D906" s="21" t="s">
        <v>633</v>
      </c>
      <c r="E906" s="19" t="s">
        <v>795</v>
      </c>
      <c r="F906" s="19" t="s">
        <v>858</v>
      </c>
      <c r="G906" s="19" t="s">
        <v>842</v>
      </c>
      <c r="H906" s="19" t="s">
        <v>691</v>
      </c>
      <c r="I906" s="19" t="s">
        <v>864</v>
      </c>
      <c r="J906" s="19" t="s">
        <v>19</v>
      </c>
      <c r="K906" s="19" t="s">
        <v>19</v>
      </c>
      <c r="L906" s="19" t="s">
        <v>18</v>
      </c>
      <c r="M906" s="19" t="s">
        <v>19</v>
      </c>
      <c r="N906" s="19" t="s">
        <v>19</v>
      </c>
      <c r="O906" s="19" t="s">
        <v>19</v>
      </c>
      <c r="P906" s="19">
        <v>100.734722</v>
      </c>
      <c r="Q906" s="19">
        <v>4.8513890000000002</v>
      </c>
      <c r="R906" s="19"/>
      <c r="S906" s="19" t="s">
        <v>279</v>
      </c>
    </row>
    <row r="907" spans="1:19" x14ac:dyDescent="0.25">
      <c r="A907" s="28">
        <v>4809001</v>
      </c>
      <c r="B907" s="15" t="s">
        <v>865</v>
      </c>
      <c r="C907" s="19" t="s">
        <v>12</v>
      </c>
      <c r="D907" s="21" t="s">
        <v>633</v>
      </c>
      <c r="E907" s="19" t="s">
        <v>800</v>
      </c>
      <c r="F907" s="19" t="s">
        <v>633</v>
      </c>
      <c r="G907" s="19" t="s">
        <v>633</v>
      </c>
      <c r="H907" s="19"/>
      <c r="I907" s="19"/>
      <c r="J907" s="19" t="s">
        <v>19</v>
      </c>
      <c r="K907" s="19" t="s">
        <v>18</v>
      </c>
      <c r="L907" s="19" t="s">
        <v>19</v>
      </c>
      <c r="M907" s="19" t="s">
        <v>18</v>
      </c>
      <c r="N907" s="19" t="s">
        <v>19</v>
      </c>
      <c r="O907" s="19" t="s">
        <v>19</v>
      </c>
      <c r="P907" s="19">
        <v>100.964736</v>
      </c>
      <c r="Q907" s="19">
        <v>4.8173779999999997</v>
      </c>
      <c r="R907" s="19"/>
      <c r="S907" s="19"/>
    </row>
    <row r="908" spans="1:19" x14ac:dyDescent="0.25">
      <c r="A908" s="28">
        <v>4810076</v>
      </c>
      <c r="B908" s="15" t="s">
        <v>866</v>
      </c>
      <c r="C908" s="19" t="s">
        <v>12</v>
      </c>
      <c r="D908" s="21" t="s">
        <v>633</v>
      </c>
      <c r="E908" s="19" t="s">
        <v>800</v>
      </c>
      <c r="F908" s="19" t="s">
        <v>867</v>
      </c>
      <c r="G908" s="19" t="s">
        <v>648</v>
      </c>
      <c r="H908" s="19" t="s">
        <v>709</v>
      </c>
      <c r="I908" s="19" t="s">
        <v>91</v>
      </c>
      <c r="J908" s="19" t="s">
        <v>19</v>
      </c>
      <c r="K908" s="19" t="s">
        <v>19</v>
      </c>
      <c r="L908" s="19" t="s">
        <v>19</v>
      </c>
      <c r="M908" s="19" t="s">
        <v>19</v>
      </c>
      <c r="N908" s="19" t="s">
        <v>18</v>
      </c>
      <c r="O908" s="19" t="s">
        <v>19</v>
      </c>
      <c r="P908" s="19">
        <v>101.03611100000001</v>
      </c>
      <c r="Q908" s="19">
        <v>4.9000000000000004</v>
      </c>
      <c r="R908" s="19"/>
      <c r="S908" s="19" t="s">
        <v>41</v>
      </c>
    </row>
    <row r="909" spans="1:19" x14ac:dyDescent="0.25">
      <c r="A909" s="28">
        <v>4810079</v>
      </c>
      <c r="B909" s="15" t="s">
        <v>868</v>
      </c>
      <c r="C909" s="19" t="s">
        <v>12</v>
      </c>
      <c r="D909" s="21" t="s">
        <v>633</v>
      </c>
      <c r="E909" s="19" t="s">
        <v>800</v>
      </c>
      <c r="F909" s="19" t="s">
        <v>648</v>
      </c>
      <c r="G909" s="19" t="s">
        <v>648</v>
      </c>
      <c r="H909" s="19" t="s">
        <v>837</v>
      </c>
      <c r="I909" s="19"/>
      <c r="J909" s="19" t="s">
        <v>18</v>
      </c>
      <c r="K909" s="19" t="s">
        <v>18</v>
      </c>
      <c r="L909" s="19" t="s">
        <v>18</v>
      </c>
      <c r="M909" s="19" t="s">
        <v>19</v>
      </c>
      <c r="N909" s="19" t="s">
        <v>19</v>
      </c>
      <c r="O909" s="19" t="s">
        <v>19</v>
      </c>
      <c r="P909" s="19">
        <v>101.004167</v>
      </c>
      <c r="Q909" s="19">
        <v>4.855556</v>
      </c>
      <c r="R909" s="19"/>
      <c r="S909" s="19" t="s">
        <v>20</v>
      </c>
    </row>
    <row r="910" spans="1:19" x14ac:dyDescent="0.25">
      <c r="A910" s="28">
        <v>4810080</v>
      </c>
      <c r="B910" s="15" t="s">
        <v>869</v>
      </c>
      <c r="C910" s="19" t="s">
        <v>12</v>
      </c>
      <c r="D910" s="21" t="s">
        <v>633</v>
      </c>
      <c r="E910" s="19" t="s">
        <v>800</v>
      </c>
      <c r="F910" s="19" t="s">
        <v>867</v>
      </c>
      <c r="G910" s="19" t="s">
        <v>648</v>
      </c>
      <c r="H910" s="19" t="s">
        <v>870</v>
      </c>
      <c r="I910" s="19"/>
      <c r="J910" s="19" t="s">
        <v>18</v>
      </c>
      <c r="K910" s="19" t="s">
        <v>18</v>
      </c>
      <c r="L910" s="19" t="s">
        <v>18</v>
      </c>
      <c r="M910" s="19" t="s">
        <v>19</v>
      </c>
      <c r="N910" s="19" t="s">
        <v>19</v>
      </c>
      <c r="O910" s="19" t="s">
        <v>19</v>
      </c>
      <c r="P910" s="19">
        <v>101.05972199999999</v>
      </c>
      <c r="Q910" s="19">
        <v>4.8277780000000003</v>
      </c>
      <c r="R910" s="19"/>
      <c r="S910" s="19" t="s">
        <v>20</v>
      </c>
    </row>
    <row r="911" spans="1:19" x14ac:dyDescent="0.25">
      <c r="A911" s="28">
        <v>4811075</v>
      </c>
      <c r="B911" s="15" t="s">
        <v>871</v>
      </c>
      <c r="C911" s="19" t="s">
        <v>12</v>
      </c>
      <c r="D911" s="21" t="s">
        <v>633</v>
      </c>
      <c r="E911" s="19" t="s">
        <v>800</v>
      </c>
      <c r="F911" s="19" t="s">
        <v>867</v>
      </c>
      <c r="G911" s="19" t="s">
        <v>648</v>
      </c>
      <c r="H911" s="19" t="s">
        <v>739</v>
      </c>
      <c r="I911" s="19"/>
      <c r="J911" s="19" t="s">
        <v>18</v>
      </c>
      <c r="K911" s="19" t="s">
        <v>18</v>
      </c>
      <c r="L911" s="19" t="s">
        <v>19</v>
      </c>
      <c r="M911" s="19" t="s">
        <v>19</v>
      </c>
      <c r="N911" s="19" t="s">
        <v>18</v>
      </c>
      <c r="O911" s="19" t="s">
        <v>19</v>
      </c>
      <c r="P911" s="19">
        <v>101.175</v>
      </c>
      <c r="Q911" s="19">
        <v>4.8930559999999996</v>
      </c>
      <c r="R911" s="19"/>
      <c r="S911" s="19" t="s">
        <v>41</v>
      </c>
    </row>
    <row r="912" spans="1:19" x14ac:dyDescent="0.25">
      <c r="A912" s="28">
        <v>4811078</v>
      </c>
      <c r="B912" s="15" t="s">
        <v>872</v>
      </c>
      <c r="C912" s="19" t="s">
        <v>12</v>
      </c>
      <c r="D912" s="21" t="s">
        <v>633</v>
      </c>
      <c r="E912" s="19" t="s">
        <v>800</v>
      </c>
      <c r="F912" s="19" t="s">
        <v>873</v>
      </c>
      <c r="G912" s="19" t="s">
        <v>648</v>
      </c>
      <c r="H912" s="19" t="s">
        <v>142</v>
      </c>
      <c r="I912" s="19"/>
      <c r="J912" s="19" t="s">
        <v>18</v>
      </c>
      <c r="K912" s="19" t="s">
        <v>18</v>
      </c>
      <c r="L912" s="19" t="s">
        <v>18</v>
      </c>
      <c r="M912" s="19" t="s">
        <v>19</v>
      </c>
      <c r="N912" s="19" t="s">
        <v>19</v>
      </c>
      <c r="O912" s="19" t="s">
        <v>19</v>
      </c>
      <c r="P912" s="19">
        <v>101.104167</v>
      </c>
      <c r="Q912" s="19">
        <v>4.8888889999999998</v>
      </c>
      <c r="R912" s="19"/>
      <c r="S912" s="19" t="s">
        <v>20</v>
      </c>
    </row>
    <row r="913" spans="1:19" hidden="1" x14ac:dyDescent="0.25">
      <c r="A913" s="28">
        <v>4815001</v>
      </c>
      <c r="B913" s="15" t="s">
        <v>989</v>
      </c>
      <c r="C913" s="19" t="s">
        <v>12</v>
      </c>
      <c r="D913" s="21" t="s">
        <v>976</v>
      </c>
      <c r="E913" s="19" t="s">
        <v>977</v>
      </c>
      <c r="F913" s="19" t="s">
        <v>982</v>
      </c>
      <c r="G913" s="19" t="s">
        <v>976</v>
      </c>
      <c r="H913" s="19" t="s">
        <v>979</v>
      </c>
      <c r="I913" s="19" t="s">
        <v>990</v>
      </c>
      <c r="J913" s="19" t="s">
        <v>19</v>
      </c>
      <c r="K913" s="19" t="s">
        <v>19</v>
      </c>
      <c r="L913" s="19" t="s">
        <v>19</v>
      </c>
      <c r="M913" s="19" t="s">
        <v>19</v>
      </c>
      <c r="N913" s="19" t="s">
        <v>18</v>
      </c>
      <c r="O913" s="19"/>
      <c r="P913" s="19">
        <v>101.566667</v>
      </c>
      <c r="Q913" s="19">
        <v>4.8111110000000004</v>
      </c>
      <c r="R913" s="19"/>
      <c r="S913" s="19" t="s">
        <v>41</v>
      </c>
    </row>
    <row r="914" spans="1:19" hidden="1" x14ac:dyDescent="0.25">
      <c r="A914" s="28">
        <v>4815001</v>
      </c>
      <c r="B914" s="15" t="s">
        <v>991</v>
      </c>
      <c r="C914" s="19" t="s">
        <v>12</v>
      </c>
      <c r="D914" s="21" t="s">
        <v>976</v>
      </c>
      <c r="E914" s="19" t="s">
        <v>977</v>
      </c>
      <c r="F914" s="19" t="s">
        <v>982</v>
      </c>
      <c r="G914" s="19" t="s">
        <v>976</v>
      </c>
      <c r="H914" s="19"/>
      <c r="I914" s="19"/>
      <c r="J914" s="19" t="s">
        <v>19</v>
      </c>
      <c r="K914" s="19" t="s">
        <v>18</v>
      </c>
      <c r="L914" s="19" t="s">
        <v>19</v>
      </c>
      <c r="M914" s="19" t="s">
        <v>18</v>
      </c>
      <c r="N914" s="19" t="s">
        <v>19</v>
      </c>
      <c r="O914" s="19"/>
      <c r="P914" s="19">
        <v>101.566667</v>
      </c>
      <c r="Q914" s="19">
        <v>4.8111110000000004</v>
      </c>
      <c r="R914" s="19"/>
      <c r="S914" s="19"/>
    </row>
    <row r="915" spans="1:19" hidden="1" x14ac:dyDescent="0.25">
      <c r="A915" s="28">
        <v>4816101</v>
      </c>
      <c r="B915" s="15" t="s">
        <v>991</v>
      </c>
      <c r="C915" s="19" t="s">
        <v>12</v>
      </c>
      <c r="D915" s="21" t="s">
        <v>976</v>
      </c>
      <c r="E915" s="19" t="s">
        <v>977</v>
      </c>
      <c r="F915" s="19" t="s">
        <v>982</v>
      </c>
      <c r="G915" s="19" t="s">
        <v>992</v>
      </c>
      <c r="H915" s="19" t="s">
        <v>990</v>
      </c>
      <c r="I915" s="19"/>
      <c r="J915" s="19" t="s">
        <v>18</v>
      </c>
      <c r="K915" s="19" t="s">
        <v>18</v>
      </c>
      <c r="L915" s="19" t="s">
        <v>19</v>
      </c>
      <c r="M915" s="19" t="s">
        <v>19</v>
      </c>
      <c r="N915" s="19" t="s">
        <v>18</v>
      </c>
      <c r="O915" s="19"/>
      <c r="P915" s="19">
        <v>101.983333</v>
      </c>
      <c r="Q915" s="19">
        <v>4.8166669999999998</v>
      </c>
      <c r="R915" s="19"/>
      <c r="S915" s="19" t="s">
        <v>41</v>
      </c>
    </row>
    <row r="916" spans="1:19" hidden="1" x14ac:dyDescent="0.25">
      <c r="A916" s="28">
        <v>4819027</v>
      </c>
      <c r="B916" s="15" t="s">
        <v>977</v>
      </c>
      <c r="C916" s="19" t="s">
        <v>12</v>
      </c>
      <c r="D916" s="21" t="s">
        <v>976</v>
      </c>
      <c r="E916" s="19" t="s">
        <v>977</v>
      </c>
      <c r="F916" s="19" t="s">
        <v>993</v>
      </c>
      <c r="G916" s="19" t="s">
        <v>976</v>
      </c>
      <c r="H916" s="19" t="s">
        <v>971</v>
      </c>
      <c r="I916" s="19"/>
      <c r="J916" s="19" t="s">
        <v>18</v>
      </c>
      <c r="K916" s="19" t="s">
        <v>18</v>
      </c>
      <c r="L916" s="19" t="s">
        <v>19</v>
      </c>
      <c r="M916" s="19" t="s">
        <v>18</v>
      </c>
      <c r="N916" s="19" t="s">
        <v>18</v>
      </c>
      <c r="O916" s="19"/>
      <c r="P916" s="19">
        <v>101.969444</v>
      </c>
      <c r="Q916" s="19">
        <v>4.8791669999999998</v>
      </c>
      <c r="R916" s="19"/>
      <c r="S916" s="19" t="s">
        <v>41</v>
      </c>
    </row>
    <row r="917" spans="1:19" hidden="1" x14ac:dyDescent="0.25">
      <c r="A917" s="29">
        <v>4832011</v>
      </c>
      <c r="B917" s="25" t="s">
        <v>1909</v>
      </c>
      <c r="C917" s="26" t="s">
        <v>12</v>
      </c>
      <c r="D917" s="24" t="s">
        <v>1865</v>
      </c>
      <c r="E917" s="26" t="s">
        <v>1892</v>
      </c>
      <c r="F917" s="26" t="s">
        <v>1894</v>
      </c>
      <c r="G917" s="26" t="s">
        <v>1892</v>
      </c>
      <c r="H917" s="26" t="s">
        <v>1213</v>
      </c>
      <c r="I917" s="26"/>
      <c r="J917" s="26" t="s">
        <v>18</v>
      </c>
      <c r="K917" s="26" t="s">
        <v>18</v>
      </c>
      <c r="L917" s="26" t="s">
        <v>19</v>
      </c>
      <c r="M917" s="26" t="s">
        <v>18</v>
      </c>
      <c r="N917" s="26" t="s">
        <v>18</v>
      </c>
      <c r="O917" s="26" t="s">
        <v>19</v>
      </c>
      <c r="P917" s="26">
        <v>103.204167</v>
      </c>
      <c r="Q917" s="26">
        <v>4.8430559999999998</v>
      </c>
      <c r="R917" s="26" t="s">
        <v>41</v>
      </c>
      <c r="S917" s="26" t="s">
        <v>1870</v>
      </c>
    </row>
    <row r="918" spans="1:19" hidden="1" x14ac:dyDescent="0.25">
      <c r="A918" s="29">
        <v>4832077</v>
      </c>
      <c r="B918" s="25" t="s">
        <v>1910</v>
      </c>
      <c r="C918" s="26" t="s">
        <v>12</v>
      </c>
      <c r="D918" s="24" t="s">
        <v>1865</v>
      </c>
      <c r="E918" s="26" t="s">
        <v>1892</v>
      </c>
      <c r="F918" s="26" t="s">
        <v>1894</v>
      </c>
      <c r="G918" s="26" t="s">
        <v>1892</v>
      </c>
      <c r="H918" s="26" t="s">
        <v>1886</v>
      </c>
      <c r="I918" s="26" t="s">
        <v>1876</v>
      </c>
      <c r="J918" s="26" t="s">
        <v>19</v>
      </c>
      <c r="K918" s="26" t="s">
        <v>19</v>
      </c>
      <c r="L918" s="26" t="s">
        <v>19</v>
      </c>
      <c r="M918" s="26" t="s">
        <v>19</v>
      </c>
      <c r="N918" s="26" t="s">
        <v>18</v>
      </c>
      <c r="O918" s="26" t="s">
        <v>19</v>
      </c>
      <c r="P918" s="26">
        <v>103.2</v>
      </c>
      <c r="Q918" s="26">
        <v>4.8444440000000002</v>
      </c>
      <c r="R918" s="26" t="s">
        <v>41</v>
      </c>
      <c r="S918" s="26" t="s">
        <v>1870</v>
      </c>
    </row>
    <row r="919" spans="1:19" hidden="1" x14ac:dyDescent="0.25">
      <c r="A919" s="29">
        <v>4833078</v>
      </c>
      <c r="B919" s="25" t="s">
        <v>1911</v>
      </c>
      <c r="C919" s="26" t="s">
        <v>12</v>
      </c>
      <c r="D919" s="24" t="s">
        <v>1865</v>
      </c>
      <c r="E919" s="26" t="s">
        <v>1892</v>
      </c>
      <c r="F919" s="26"/>
      <c r="G919" s="26" t="s">
        <v>1892</v>
      </c>
      <c r="H919" s="26" t="s">
        <v>1048</v>
      </c>
      <c r="I919" s="26"/>
      <c r="J919" s="26" t="s">
        <v>18</v>
      </c>
      <c r="K919" s="26" t="s">
        <v>18</v>
      </c>
      <c r="L919" s="26" t="s">
        <v>19</v>
      </c>
      <c r="M919" s="26" t="s">
        <v>19</v>
      </c>
      <c r="N919" s="26" t="s">
        <v>18</v>
      </c>
      <c r="O919" s="26" t="s">
        <v>19</v>
      </c>
      <c r="P919" s="26">
        <v>103.30972199999999</v>
      </c>
      <c r="Q919" s="26">
        <v>4.8166669999999998</v>
      </c>
      <c r="R919" s="26" t="s">
        <v>472</v>
      </c>
      <c r="S919" s="26" t="s">
        <v>1870</v>
      </c>
    </row>
    <row r="920" spans="1:19" hidden="1" x14ac:dyDescent="0.25">
      <c r="A920" s="29">
        <v>4834001</v>
      </c>
      <c r="B920" s="25" t="s">
        <v>1912</v>
      </c>
      <c r="C920" s="26" t="s">
        <v>12</v>
      </c>
      <c r="D920" s="24" t="s">
        <v>1865</v>
      </c>
      <c r="E920" s="26" t="s">
        <v>1892</v>
      </c>
      <c r="F920" s="26"/>
      <c r="G920" s="26" t="s">
        <v>1892</v>
      </c>
      <c r="H920" s="26" t="s">
        <v>1913</v>
      </c>
      <c r="I920" s="26"/>
      <c r="J920" s="26" t="s">
        <v>18</v>
      </c>
      <c r="K920" s="26" t="s">
        <v>18</v>
      </c>
      <c r="L920" s="26" t="s">
        <v>19</v>
      </c>
      <c r="M920" s="26" t="s">
        <v>19</v>
      </c>
      <c r="N920" s="26" t="s">
        <v>18</v>
      </c>
      <c r="O920" s="26" t="s">
        <v>19</v>
      </c>
      <c r="P920" s="26">
        <v>103.416667</v>
      </c>
      <c r="Q920" s="26">
        <v>4.8277780000000003</v>
      </c>
      <c r="R920" s="26" t="s">
        <v>41</v>
      </c>
      <c r="S920" s="26" t="s">
        <v>1870</v>
      </c>
    </row>
    <row r="921" spans="1:19" hidden="1" x14ac:dyDescent="0.25">
      <c r="A921" s="29">
        <v>4834070</v>
      </c>
      <c r="B921" s="25" t="s">
        <v>1914</v>
      </c>
      <c r="C921" s="26" t="s">
        <v>12</v>
      </c>
      <c r="D921" s="24" t="s">
        <v>1865</v>
      </c>
      <c r="E921" s="26" t="s">
        <v>1892</v>
      </c>
      <c r="F921" s="26" t="s">
        <v>1894</v>
      </c>
      <c r="G921" s="26" t="s">
        <v>1892</v>
      </c>
      <c r="H921" s="26" t="s">
        <v>1048</v>
      </c>
      <c r="I921" s="26" t="s">
        <v>1141</v>
      </c>
      <c r="J921" s="26" t="s">
        <v>19</v>
      </c>
      <c r="K921" s="26" t="s">
        <v>19</v>
      </c>
      <c r="L921" s="26" t="s">
        <v>18</v>
      </c>
      <c r="M921" s="26" t="s">
        <v>19</v>
      </c>
      <c r="N921" s="26" t="s">
        <v>19</v>
      </c>
      <c r="O921" s="26" t="s">
        <v>19</v>
      </c>
      <c r="P921" s="26">
        <v>103.416667</v>
      </c>
      <c r="Q921" s="26">
        <v>4.8277780000000003</v>
      </c>
      <c r="R921" s="26" t="s">
        <v>472</v>
      </c>
      <c r="S921" s="26" t="s">
        <v>1870</v>
      </c>
    </row>
    <row r="922" spans="1:19" x14ac:dyDescent="0.25">
      <c r="A922" s="28">
        <v>4904026</v>
      </c>
      <c r="B922" s="15" t="s">
        <v>874</v>
      </c>
      <c r="C922" s="19" t="s">
        <v>12</v>
      </c>
      <c r="D922" s="21" t="s">
        <v>633</v>
      </c>
      <c r="E922" s="19" t="s">
        <v>875</v>
      </c>
      <c r="F922" s="19" t="s">
        <v>876</v>
      </c>
      <c r="G922" s="19" t="s">
        <v>876</v>
      </c>
      <c r="H922" s="19" t="s">
        <v>773</v>
      </c>
      <c r="I922" s="19"/>
      <c r="J922" s="19" t="s">
        <v>18</v>
      </c>
      <c r="K922" s="19" t="s">
        <v>18</v>
      </c>
      <c r="L922" s="19" t="s">
        <v>18</v>
      </c>
      <c r="M922" s="19" t="s">
        <v>19</v>
      </c>
      <c r="N922" s="19" t="s">
        <v>19</v>
      </c>
      <c r="O922" s="19" t="s">
        <v>19</v>
      </c>
      <c r="P922" s="19">
        <v>100.470833</v>
      </c>
      <c r="Q922" s="19">
        <v>4.9583329999999997</v>
      </c>
      <c r="R922" s="19"/>
      <c r="S922" s="19" t="s">
        <v>20</v>
      </c>
    </row>
    <row r="923" spans="1:19" x14ac:dyDescent="0.25">
      <c r="A923" s="28">
        <v>4905023</v>
      </c>
      <c r="B923" s="15" t="s">
        <v>877</v>
      </c>
      <c r="C923" s="19" t="s">
        <v>12</v>
      </c>
      <c r="D923" s="21" t="s">
        <v>633</v>
      </c>
      <c r="E923" s="19" t="s">
        <v>875</v>
      </c>
      <c r="F923" s="19" t="s">
        <v>876</v>
      </c>
      <c r="G923" s="19" t="s">
        <v>876</v>
      </c>
      <c r="H923" s="19" t="s">
        <v>878</v>
      </c>
      <c r="I923" s="19"/>
      <c r="J923" s="19" t="s">
        <v>18</v>
      </c>
      <c r="K923" s="19" t="s">
        <v>18</v>
      </c>
      <c r="L923" s="19" t="s">
        <v>18</v>
      </c>
      <c r="M923" s="19" t="s">
        <v>19</v>
      </c>
      <c r="N923" s="19" t="s">
        <v>19</v>
      </c>
      <c r="O923" s="19" t="s">
        <v>19</v>
      </c>
      <c r="P923" s="19">
        <v>100.597222</v>
      </c>
      <c r="Q923" s="19">
        <v>4.9680559999999998</v>
      </c>
      <c r="R923" s="19"/>
      <c r="S923" s="19" t="s">
        <v>20</v>
      </c>
    </row>
    <row r="924" spans="1:19" x14ac:dyDescent="0.25">
      <c r="A924" s="28">
        <v>4906022</v>
      </c>
      <c r="B924" s="15" t="s">
        <v>879</v>
      </c>
      <c r="C924" s="19" t="s">
        <v>12</v>
      </c>
      <c r="D924" s="21" t="s">
        <v>633</v>
      </c>
      <c r="E924" s="19" t="s">
        <v>875</v>
      </c>
      <c r="F924" s="19" t="s">
        <v>784</v>
      </c>
      <c r="G924" s="19" t="s">
        <v>876</v>
      </c>
      <c r="H924" s="19" t="s">
        <v>454</v>
      </c>
      <c r="I924" s="19"/>
      <c r="J924" s="19" t="s">
        <v>18</v>
      </c>
      <c r="K924" s="19" t="s">
        <v>18</v>
      </c>
      <c r="L924" s="19" t="s">
        <v>18</v>
      </c>
      <c r="M924" s="19" t="s">
        <v>19</v>
      </c>
      <c r="N924" s="19" t="s">
        <v>19</v>
      </c>
      <c r="O924" s="19" t="s">
        <v>19</v>
      </c>
      <c r="P924" s="19">
        <v>100.630556</v>
      </c>
      <c r="Q924" s="19">
        <v>4.9527780000000003</v>
      </c>
      <c r="R924" s="19"/>
      <c r="S924" s="19" t="s">
        <v>544</v>
      </c>
    </row>
    <row r="925" spans="1:19" x14ac:dyDescent="0.25">
      <c r="A925" s="28">
        <v>4907013</v>
      </c>
      <c r="B925" s="15" t="s">
        <v>880</v>
      </c>
      <c r="C925" s="19" t="s">
        <v>12</v>
      </c>
      <c r="D925" s="21" t="s">
        <v>633</v>
      </c>
      <c r="E925" s="19" t="s">
        <v>875</v>
      </c>
      <c r="F925" s="19"/>
      <c r="G925" s="19" t="s">
        <v>876</v>
      </c>
      <c r="H925" s="19" t="s">
        <v>454</v>
      </c>
      <c r="I925" s="19" t="s">
        <v>881</v>
      </c>
      <c r="J925" s="19" t="s">
        <v>19</v>
      </c>
      <c r="K925" s="19" t="s">
        <v>19</v>
      </c>
      <c r="L925" s="19" t="s">
        <v>18</v>
      </c>
      <c r="M925" s="19" t="s">
        <v>19</v>
      </c>
      <c r="N925" s="19" t="s">
        <v>19</v>
      </c>
      <c r="O925" s="19" t="s">
        <v>19</v>
      </c>
      <c r="P925" s="19">
        <v>100.705556</v>
      </c>
      <c r="Q925" s="19">
        <v>4.9416669999999998</v>
      </c>
      <c r="R925" s="19"/>
      <c r="S925" s="19" t="s">
        <v>20</v>
      </c>
    </row>
    <row r="926" spans="1:19" x14ac:dyDescent="0.25">
      <c r="A926" s="28">
        <v>4907017</v>
      </c>
      <c r="B926" s="15" t="s">
        <v>882</v>
      </c>
      <c r="C926" s="19" t="s">
        <v>12</v>
      </c>
      <c r="D926" s="21" t="s">
        <v>633</v>
      </c>
      <c r="E926" s="19" t="s">
        <v>795</v>
      </c>
      <c r="F926" s="19" t="s">
        <v>883</v>
      </c>
      <c r="G926" s="19" t="s">
        <v>842</v>
      </c>
      <c r="H926" s="19" t="s">
        <v>717</v>
      </c>
      <c r="I926" s="19"/>
      <c r="J926" s="19" t="s">
        <v>18</v>
      </c>
      <c r="K926" s="19" t="s">
        <v>18</v>
      </c>
      <c r="L926" s="19" t="s">
        <v>18</v>
      </c>
      <c r="M926" s="19" t="s">
        <v>19</v>
      </c>
      <c r="N926" s="19" t="s">
        <v>19</v>
      </c>
      <c r="O926" s="19" t="s">
        <v>19</v>
      </c>
      <c r="P926" s="19">
        <v>100.731944</v>
      </c>
      <c r="Q926" s="19">
        <v>4.9430560000000003</v>
      </c>
      <c r="R926" s="19"/>
      <c r="S926" s="19" t="s">
        <v>20</v>
      </c>
    </row>
    <row r="927" spans="1:19" x14ac:dyDescent="0.25">
      <c r="A927" s="28">
        <v>4907019</v>
      </c>
      <c r="B927" s="15" t="s">
        <v>884</v>
      </c>
      <c r="C927" s="19" t="s">
        <v>12</v>
      </c>
      <c r="D927" s="21" t="s">
        <v>633</v>
      </c>
      <c r="E927" s="19" t="s">
        <v>795</v>
      </c>
      <c r="F927" s="19" t="s">
        <v>885</v>
      </c>
      <c r="G927" s="19" t="s">
        <v>876</v>
      </c>
      <c r="H927" s="19" t="s">
        <v>688</v>
      </c>
      <c r="I927" s="19"/>
      <c r="J927" s="19" t="s">
        <v>18</v>
      </c>
      <c r="K927" s="19" t="s">
        <v>18</v>
      </c>
      <c r="L927" s="19" t="s">
        <v>18</v>
      </c>
      <c r="M927" s="19" t="s">
        <v>19</v>
      </c>
      <c r="N927" s="19" t="s">
        <v>19</v>
      </c>
      <c r="O927" s="19" t="s">
        <v>19</v>
      </c>
      <c r="P927" s="19">
        <v>100.76388900000001</v>
      </c>
      <c r="Q927" s="19">
        <v>4.9652779999999996</v>
      </c>
      <c r="R927" s="19"/>
      <c r="S927" s="19" t="s">
        <v>20</v>
      </c>
    </row>
    <row r="928" spans="1:19" x14ac:dyDescent="0.25">
      <c r="A928" s="28">
        <v>4907020</v>
      </c>
      <c r="B928" s="15" t="s">
        <v>886</v>
      </c>
      <c r="C928" s="19" t="s">
        <v>12</v>
      </c>
      <c r="D928" s="21" t="s">
        <v>633</v>
      </c>
      <c r="E928" s="19" t="s">
        <v>795</v>
      </c>
      <c r="F928" s="19"/>
      <c r="G928" s="19"/>
      <c r="H928" s="19"/>
      <c r="I928" s="19"/>
      <c r="J928" s="19" t="s">
        <v>19</v>
      </c>
      <c r="K928" s="19" t="s">
        <v>18</v>
      </c>
      <c r="L928" s="19" t="s">
        <v>19</v>
      </c>
      <c r="M928" s="19" t="s">
        <v>18</v>
      </c>
      <c r="N928" s="19" t="s">
        <v>19</v>
      </c>
      <c r="O928" s="19" t="s">
        <v>19</v>
      </c>
      <c r="P928" s="19">
        <v>100.779222</v>
      </c>
      <c r="Q928" s="19">
        <v>4.9776389999999999</v>
      </c>
      <c r="R928" s="19"/>
      <c r="S928" s="19"/>
    </row>
    <row r="929" spans="1:19" x14ac:dyDescent="0.25">
      <c r="A929" s="28">
        <v>4908013</v>
      </c>
      <c r="B929" s="15" t="s">
        <v>887</v>
      </c>
      <c r="C929" s="19" t="s">
        <v>12</v>
      </c>
      <c r="D929" s="21" t="s">
        <v>633</v>
      </c>
      <c r="E929" s="19" t="s">
        <v>795</v>
      </c>
      <c r="F929" s="19" t="s">
        <v>876</v>
      </c>
      <c r="G929" s="19" t="s">
        <v>876</v>
      </c>
      <c r="H929" s="19" t="s">
        <v>410</v>
      </c>
      <c r="I929" s="19"/>
      <c r="J929" s="19" t="s">
        <v>18</v>
      </c>
      <c r="K929" s="19" t="s">
        <v>18</v>
      </c>
      <c r="L929" s="19" t="s">
        <v>18</v>
      </c>
      <c r="M929" s="19" t="s">
        <v>19</v>
      </c>
      <c r="N929" s="19" t="s">
        <v>19</v>
      </c>
      <c r="O929" s="19" t="s">
        <v>19</v>
      </c>
      <c r="P929" s="19">
        <v>100.827778</v>
      </c>
      <c r="Q929" s="19">
        <v>4.9347219999999998</v>
      </c>
      <c r="R929" s="19"/>
      <c r="S929" s="19" t="s">
        <v>41</v>
      </c>
    </row>
    <row r="930" spans="1:19" x14ac:dyDescent="0.25">
      <c r="A930" s="28">
        <v>4908018</v>
      </c>
      <c r="B930" s="15" t="s">
        <v>888</v>
      </c>
      <c r="C930" s="19" t="s">
        <v>12</v>
      </c>
      <c r="D930" s="21" t="s">
        <v>633</v>
      </c>
      <c r="E930" s="19" t="s">
        <v>795</v>
      </c>
      <c r="F930" s="19" t="s">
        <v>876</v>
      </c>
      <c r="G930" s="19" t="s">
        <v>876</v>
      </c>
      <c r="H930" s="19" t="s">
        <v>332</v>
      </c>
      <c r="I930" s="19"/>
      <c r="J930" s="19" t="s">
        <v>18</v>
      </c>
      <c r="K930" s="19" t="s">
        <v>18</v>
      </c>
      <c r="L930" s="19" t="s">
        <v>19</v>
      </c>
      <c r="M930" s="19" t="s">
        <v>19</v>
      </c>
      <c r="N930" s="19" t="s">
        <v>18</v>
      </c>
      <c r="O930" s="19" t="s">
        <v>19</v>
      </c>
      <c r="P930" s="19">
        <v>100.80416700000001</v>
      </c>
      <c r="Q930" s="19">
        <v>4.9791670000000003</v>
      </c>
      <c r="R930" s="19"/>
      <c r="S930" s="19" t="s">
        <v>41</v>
      </c>
    </row>
    <row r="931" spans="1:19" x14ac:dyDescent="0.25">
      <c r="A931" s="28">
        <v>4909072</v>
      </c>
      <c r="B931" s="15" t="s">
        <v>889</v>
      </c>
      <c r="C931" s="19" t="s">
        <v>12</v>
      </c>
      <c r="D931" s="21" t="s">
        <v>633</v>
      </c>
      <c r="E931" s="19" t="s">
        <v>800</v>
      </c>
      <c r="F931" s="19" t="s">
        <v>648</v>
      </c>
      <c r="G931" s="19" t="s">
        <v>648</v>
      </c>
      <c r="H931" s="19" t="s">
        <v>494</v>
      </c>
      <c r="I931" s="19"/>
      <c r="J931" s="19" t="s">
        <v>18</v>
      </c>
      <c r="K931" s="19" t="s">
        <v>18</v>
      </c>
      <c r="L931" s="19" t="s">
        <v>18</v>
      </c>
      <c r="M931" s="19" t="s">
        <v>18</v>
      </c>
      <c r="N931" s="19" t="s">
        <v>19</v>
      </c>
      <c r="O931" s="19" t="s">
        <v>19</v>
      </c>
      <c r="P931" s="19">
        <v>100.979167</v>
      </c>
      <c r="Q931" s="19">
        <v>4.9611109999999998</v>
      </c>
      <c r="R931" s="19"/>
      <c r="S931" s="19" t="s">
        <v>41</v>
      </c>
    </row>
    <row r="932" spans="1:19" x14ac:dyDescent="0.25">
      <c r="A932" s="28">
        <v>4909073</v>
      </c>
      <c r="B932" s="15" t="s">
        <v>890</v>
      </c>
      <c r="C932" s="19" t="s">
        <v>12</v>
      </c>
      <c r="D932" s="21" t="s">
        <v>633</v>
      </c>
      <c r="E932" s="19" t="s">
        <v>800</v>
      </c>
      <c r="F932" s="19" t="s">
        <v>891</v>
      </c>
      <c r="G932" s="19" t="s">
        <v>648</v>
      </c>
      <c r="H932" s="19" t="s">
        <v>666</v>
      </c>
      <c r="I932" s="19"/>
      <c r="J932" s="19" t="s">
        <v>18</v>
      </c>
      <c r="K932" s="19" t="s">
        <v>18</v>
      </c>
      <c r="L932" s="19" t="s">
        <v>18</v>
      </c>
      <c r="M932" s="19" t="s">
        <v>19</v>
      </c>
      <c r="N932" s="19" t="s">
        <v>19</v>
      </c>
      <c r="O932" s="19" t="s">
        <v>19</v>
      </c>
      <c r="P932" s="19">
        <v>100.919444</v>
      </c>
      <c r="Q932" s="19">
        <v>4.920833</v>
      </c>
      <c r="R932" s="19"/>
      <c r="S932" s="19" t="s">
        <v>20</v>
      </c>
    </row>
    <row r="933" spans="1:19" x14ac:dyDescent="0.25">
      <c r="A933" s="28">
        <v>4910077</v>
      </c>
      <c r="B933" s="15" t="s">
        <v>892</v>
      </c>
      <c r="C933" s="19" t="s">
        <v>12</v>
      </c>
      <c r="D933" s="21" t="s">
        <v>633</v>
      </c>
      <c r="E933" s="19" t="s">
        <v>800</v>
      </c>
      <c r="F933" s="19" t="s">
        <v>867</v>
      </c>
      <c r="G933" s="19" t="s">
        <v>648</v>
      </c>
      <c r="H933" s="19" t="s">
        <v>893</v>
      </c>
      <c r="I933" s="19"/>
      <c r="J933" s="19" t="s">
        <v>18</v>
      </c>
      <c r="K933" s="19" t="s">
        <v>18</v>
      </c>
      <c r="L933" s="19" t="s">
        <v>18</v>
      </c>
      <c r="M933" s="19" t="s">
        <v>19</v>
      </c>
      <c r="N933" s="19" t="s">
        <v>19</v>
      </c>
      <c r="O933" s="19" t="s">
        <v>19</v>
      </c>
      <c r="P933" s="19">
        <v>101.091667</v>
      </c>
      <c r="Q933" s="19">
        <v>4.911111</v>
      </c>
      <c r="R933" s="19"/>
      <c r="S933" s="19" t="s">
        <v>20</v>
      </c>
    </row>
    <row r="934" spans="1:19" x14ac:dyDescent="0.25">
      <c r="A934" s="28">
        <v>4911076</v>
      </c>
      <c r="B934" s="15" t="s">
        <v>894</v>
      </c>
      <c r="C934" s="19" t="s">
        <v>12</v>
      </c>
      <c r="D934" s="21" t="s">
        <v>633</v>
      </c>
      <c r="E934" s="19" t="s">
        <v>800</v>
      </c>
      <c r="F934" s="19" t="s">
        <v>895</v>
      </c>
      <c r="G934" s="19" t="s">
        <v>895</v>
      </c>
      <c r="H934" s="19" t="s">
        <v>896</v>
      </c>
      <c r="I934" s="19"/>
      <c r="J934" s="19" t="s">
        <v>18</v>
      </c>
      <c r="K934" s="19" t="s">
        <v>18</v>
      </c>
      <c r="L934" s="19" t="s">
        <v>18</v>
      </c>
      <c r="M934" s="19" t="s">
        <v>19</v>
      </c>
      <c r="N934" s="19" t="s">
        <v>19</v>
      </c>
      <c r="O934" s="19" t="s">
        <v>19</v>
      </c>
      <c r="P934" s="19">
        <v>101.102778</v>
      </c>
      <c r="Q934" s="19">
        <v>4.9375</v>
      </c>
      <c r="R934" s="19"/>
      <c r="S934" s="19" t="s">
        <v>897</v>
      </c>
    </row>
    <row r="935" spans="1:19" x14ac:dyDescent="0.25">
      <c r="A935" s="28">
        <v>4911077</v>
      </c>
      <c r="B935" s="15" t="s">
        <v>898</v>
      </c>
      <c r="C935" s="19" t="s">
        <v>12</v>
      </c>
      <c r="D935" s="21" t="s">
        <v>633</v>
      </c>
      <c r="E935" s="19" t="s">
        <v>800</v>
      </c>
      <c r="F935" s="19" t="s">
        <v>899</v>
      </c>
      <c r="G935" s="19" t="s">
        <v>633</v>
      </c>
      <c r="H935" s="19"/>
      <c r="I935" s="19"/>
      <c r="J935" s="19" t="s">
        <v>19</v>
      </c>
      <c r="K935" s="19" t="s">
        <v>18</v>
      </c>
      <c r="L935" s="19" t="s">
        <v>19</v>
      </c>
      <c r="M935" s="19" t="s">
        <v>18</v>
      </c>
      <c r="N935" s="19" t="s">
        <v>19</v>
      </c>
      <c r="O935" s="19" t="s">
        <v>19</v>
      </c>
      <c r="P935" s="19">
        <v>101.10256099999999</v>
      </c>
      <c r="Q935" s="19">
        <v>4.9388139999999998</v>
      </c>
      <c r="R935" s="19"/>
      <c r="S935" s="19"/>
    </row>
    <row r="936" spans="1:19" hidden="1" x14ac:dyDescent="0.25">
      <c r="A936" s="28">
        <v>4915001</v>
      </c>
      <c r="B936" s="15" t="s">
        <v>994</v>
      </c>
      <c r="C936" s="19" t="s">
        <v>12</v>
      </c>
      <c r="D936" s="21" t="s">
        <v>976</v>
      </c>
      <c r="E936" s="19" t="s">
        <v>977</v>
      </c>
      <c r="F936" s="19" t="s">
        <v>982</v>
      </c>
      <c r="G936" s="19" t="s">
        <v>976</v>
      </c>
      <c r="H936" s="19" t="s">
        <v>979</v>
      </c>
      <c r="I936" s="19"/>
      <c r="J936" s="19" t="s">
        <v>18</v>
      </c>
      <c r="K936" s="19" t="s">
        <v>18</v>
      </c>
      <c r="L936" s="19" t="s">
        <v>19</v>
      </c>
      <c r="M936" s="19" t="s">
        <v>19</v>
      </c>
      <c r="N936" s="19" t="s">
        <v>18</v>
      </c>
      <c r="O936" s="19"/>
      <c r="P936" s="19">
        <v>101.579167</v>
      </c>
      <c r="Q936" s="19">
        <v>5</v>
      </c>
      <c r="R936" s="19"/>
      <c r="S936" s="19" t="s">
        <v>41</v>
      </c>
    </row>
    <row r="937" spans="1:19" hidden="1" x14ac:dyDescent="0.25">
      <c r="A937" s="28">
        <v>4922001</v>
      </c>
      <c r="B937" s="15" t="s">
        <v>995</v>
      </c>
      <c r="C937" s="19" t="s">
        <v>12</v>
      </c>
      <c r="D937" s="21" t="s">
        <v>976</v>
      </c>
      <c r="E937" s="19" t="s">
        <v>996</v>
      </c>
      <c r="F937" s="19" t="s">
        <v>997</v>
      </c>
      <c r="G937" s="19" t="s">
        <v>976</v>
      </c>
      <c r="H937" s="19" t="s">
        <v>979</v>
      </c>
      <c r="I937" s="19"/>
      <c r="J937" s="19" t="s">
        <v>18</v>
      </c>
      <c r="K937" s="19" t="s">
        <v>18</v>
      </c>
      <c r="L937" s="19" t="s">
        <v>19</v>
      </c>
      <c r="M937" s="19" t="s">
        <v>19</v>
      </c>
      <c r="N937" s="19" t="s">
        <v>18</v>
      </c>
      <c r="O937" s="19"/>
      <c r="P937" s="19">
        <v>102.30416700000001</v>
      </c>
      <c r="Q937" s="19">
        <v>5.2125000000000004</v>
      </c>
      <c r="R937" s="19"/>
      <c r="S937" s="19" t="s">
        <v>41</v>
      </c>
    </row>
    <row r="938" spans="1:19" hidden="1" x14ac:dyDescent="0.25">
      <c r="A938" s="28">
        <v>4923001</v>
      </c>
      <c r="B938" s="15" t="s">
        <v>998</v>
      </c>
      <c r="C938" s="19" t="s">
        <v>12</v>
      </c>
      <c r="D938" s="21" t="s">
        <v>976</v>
      </c>
      <c r="E938" s="19" t="s">
        <v>977</v>
      </c>
      <c r="F938" s="19" t="s">
        <v>999</v>
      </c>
      <c r="G938" s="19" t="s">
        <v>976</v>
      </c>
      <c r="H938" s="19" t="s">
        <v>979</v>
      </c>
      <c r="I938" s="19"/>
      <c r="J938" s="19" t="s">
        <v>18</v>
      </c>
      <c r="K938" s="19" t="s">
        <v>18</v>
      </c>
      <c r="L938" s="19" t="s">
        <v>19</v>
      </c>
      <c r="M938" s="19" t="s">
        <v>18</v>
      </c>
      <c r="N938" s="19" t="s">
        <v>18</v>
      </c>
      <c r="O938" s="19"/>
      <c r="P938" s="19">
        <v>102.352778</v>
      </c>
      <c r="Q938" s="19">
        <v>4.9375</v>
      </c>
      <c r="R938" s="19"/>
      <c r="S938" s="19" t="s">
        <v>41</v>
      </c>
    </row>
    <row r="939" spans="1:19" hidden="1" x14ac:dyDescent="0.25">
      <c r="A939" s="29">
        <v>4929001</v>
      </c>
      <c r="B939" s="25" t="s">
        <v>1915</v>
      </c>
      <c r="C939" s="26" t="s">
        <v>12</v>
      </c>
      <c r="D939" s="24" t="s">
        <v>1865</v>
      </c>
      <c r="E939" s="26" t="s">
        <v>1916</v>
      </c>
      <c r="F939" s="26"/>
      <c r="G939" s="26" t="s">
        <v>1865</v>
      </c>
      <c r="H939" s="26" t="s">
        <v>91</v>
      </c>
      <c r="I939" s="26"/>
      <c r="J939" s="26" t="s">
        <v>18</v>
      </c>
      <c r="K939" s="26" t="s">
        <v>18</v>
      </c>
      <c r="L939" s="26" t="s">
        <v>19</v>
      </c>
      <c r="M939" s="26" t="s">
        <v>19</v>
      </c>
      <c r="N939" s="26" t="s">
        <v>18</v>
      </c>
      <c r="O939" s="26" t="s">
        <v>19</v>
      </c>
      <c r="P939" s="26">
        <v>102.966667</v>
      </c>
      <c r="Q939" s="26">
        <v>4.9527780000000003</v>
      </c>
      <c r="R939" s="26" t="s">
        <v>41</v>
      </c>
      <c r="S939" s="26" t="s">
        <v>1870</v>
      </c>
    </row>
    <row r="940" spans="1:19" hidden="1" x14ac:dyDescent="0.25">
      <c r="A940" s="29">
        <v>4930001</v>
      </c>
      <c r="B940" s="25" t="s">
        <v>1917</v>
      </c>
      <c r="C940" s="26" t="s">
        <v>12</v>
      </c>
      <c r="D940" s="24" t="s">
        <v>1865</v>
      </c>
      <c r="E940" s="26" t="s">
        <v>1918</v>
      </c>
      <c r="F940" s="26" t="s">
        <v>1919</v>
      </c>
      <c r="G940" s="26" t="s">
        <v>1920</v>
      </c>
      <c r="H940" s="26" t="s">
        <v>1081</v>
      </c>
      <c r="I940" s="26" t="s">
        <v>533</v>
      </c>
      <c r="J940" s="26" t="s">
        <v>19</v>
      </c>
      <c r="K940" s="26" t="s">
        <v>19</v>
      </c>
      <c r="L940" s="26" t="s">
        <v>18</v>
      </c>
      <c r="M940" s="26" t="s">
        <v>19</v>
      </c>
      <c r="N940" s="26" t="s">
        <v>19</v>
      </c>
      <c r="O940" s="26" t="s">
        <v>19</v>
      </c>
      <c r="P940" s="26">
        <v>103.061111</v>
      </c>
      <c r="Q940" s="26">
        <v>4.9388889999999996</v>
      </c>
      <c r="R940" s="26" t="s">
        <v>279</v>
      </c>
      <c r="S940" s="26" t="s">
        <v>1870</v>
      </c>
    </row>
    <row r="941" spans="1:19" hidden="1" x14ac:dyDescent="0.25">
      <c r="A941" s="29">
        <v>4930038</v>
      </c>
      <c r="B941" s="25" t="s">
        <v>1921</v>
      </c>
      <c r="C941" s="26" t="s">
        <v>12</v>
      </c>
      <c r="D941" s="24" t="s">
        <v>1865</v>
      </c>
      <c r="E941" s="26" t="s">
        <v>1916</v>
      </c>
      <c r="F941" s="26" t="s">
        <v>1922</v>
      </c>
      <c r="G941" s="26" t="s">
        <v>1865</v>
      </c>
      <c r="H941" s="26" t="s">
        <v>1081</v>
      </c>
      <c r="I941" s="26"/>
      <c r="J941" s="26" t="s">
        <v>18</v>
      </c>
      <c r="K941" s="26" t="s">
        <v>18</v>
      </c>
      <c r="L941" s="26" t="s">
        <v>19</v>
      </c>
      <c r="M941" s="26" t="s">
        <v>18</v>
      </c>
      <c r="N941" s="26" t="s">
        <v>18</v>
      </c>
      <c r="O941" s="26" t="s">
        <v>19</v>
      </c>
      <c r="P941" s="26">
        <v>103.061111</v>
      </c>
      <c r="Q941" s="26">
        <v>4.9388889999999996</v>
      </c>
      <c r="R941" s="26" t="s">
        <v>41</v>
      </c>
      <c r="S941" s="26" t="s">
        <v>1870</v>
      </c>
    </row>
    <row r="942" spans="1:19" hidden="1" x14ac:dyDescent="0.25">
      <c r="A942" s="29">
        <v>4931061</v>
      </c>
      <c r="B942" s="25" t="s">
        <v>1923</v>
      </c>
      <c r="C942" s="26" t="s">
        <v>12</v>
      </c>
      <c r="D942" s="24" t="s">
        <v>1865</v>
      </c>
      <c r="E942" s="26" t="s">
        <v>1916</v>
      </c>
      <c r="F942" s="26"/>
      <c r="G942" s="26" t="s">
        <v>1919</v>
      </c>
      <c r="H942" s="26" t="s">
        <v>1924</v>
      </c>
      <c r="I942" s="26"/>
      <c r="J942" s="26" t="s">
        <v>18</v>
      </c>
      <c r="K942" s="26" t="s">
        <v>18</v>
      </c>
      <c r="L942" s="26" t="s">
        <v>19</v>
      </c>
      <c r="M942" s="26" t="s">
        <v>19</v>
      </c>
      <c r="N942" s="26" t="s">
        <v>18</v>
      </c>
      <c r="O942" s="26" t="s">
        <v>19</v>
      </c>
      <c r="P942" s="26">
        <v>103.158333</v>
      </c>
      <c r="Q942" s="26">
        <v>4.9777779999999998</v>
      </c>
      <c r="R942" s="26" t="s">
        <v>20</v>
      </c>
      <c r="S942" s="26" t="s">
        <v>1870</v>
      </c>
    </row>
    <row r="943" spans="1:19" hidden="1" x14ac:dyDescent="0.25">
      <c r="A943" s="29">
        <v>4931067</v>
      </c>
      <c r="B943" s="25" t="s">
        <v>1925</v>
      </c>
      <c r="C943" s="26" t="s">
        <v>12</v>
      </c>
      <c r="D943" s="24" t="s">
        <v>1865</v>
      </c>
      <c r="E943" s="26" t="s">
        <v>1892</v>
      </c>
      <c r="F943" s="26" t="s">
        <v>1919</v>
      </c>
      <c r="G943" s="26" t="s">
        <v>1920</v>
      </c>
      <c r="H943" s="26" t="s">
        <v>242</v>
      </c>
      <c r="I943" s="26" t="s">
        <v>1926</v>
      </c>
      <c r="J943" s="26" t="s">
        <v>19</v>
      </c>
      <c r="K943" s="26" t="s">
        <v>19</v>
      </c>
      <c r="L943" s="26" t="s">
        <v>18</v>
      </c>
      <c r="M943" s="26" t="s">
        <v>19</v>
      </c>
      <c r="N943" s="26" t="s">
        <v>19</v>
      </c>
      <c r="O943" s="26" t="s">
        <v>19</v>
      </c>
      <c r="P943" s="26">
        <v>103.169444</v>
      </c>
      <c r="Q943" s="26">
        <v>4.956944</v>
      </c>
      <c r="R943" s="26" t="s">
        <v>544</v>
      </c>
      <c r="S943" s="26" t="s">
        <v>1870</v>
      </c>
    </row>
    <row r="944" spans="1:19" hidden="1" x14ac:dyDescent="0.25">
      <c r="A944" s="29">
        <v>4931076</v>
      </c>
      <c r="B944" s="25" t="s">
        <v>1927</v>
      </c>
      <c r="C944" s="26" t="s">
        <v>12</v>
      </c>
      <c r="D944" s="24" t="s">
        <v>1865</v>
      </c>
      <c r="E944" s="26" t="s">
        <v>1892</v>
      </c>
      <c r="F944" s="26" t="s">
        <v>1919</v>
      </c>
      <c r="G944" s="26" t="s">
        <v>1920</v>
      </c>
      <c r="H944" s="26" t="s">
        <v>1081</v>
      </c>
      <c r="I944" s="26" t="s">
        <v>1608</v>
      </c>
      <c r="J944" s="26" t="s">
        <v>19</v>
      </c>
      <c r="K944" s="26" t="s">
        <v>19</v>
      </c>
      <c r="L944" s="26" t="s">
        <v>18</v>
      </c>
      <c r="M944" s="26" t="s">
        <v>19</v>
      </c>
      <c r="N944" s="26" t="s">
        <v>19</v>
      </c>
      <c r="O944" s="26" t="s">
        <v>19</v>
      </c>
      <c r="P944" s="26">
        <v>103.193056</v>
      </c>
      <c r="Q944" s="26">
        <v>4.9069440000000002</v>
      </c>
      <c r="R944" s="26" t="s">
        <v>421</v>
      </c>
      <c r="S944" s="26" t="s">
        <v>1870</v>
      </c>
    </row>
    <row r="945" spans="1:19" ht="30" hidden="1" x14ac:dyDescent="0.25">
      <c r="A945" s="29">
        <v>4933001</v>
      </c>
      <c r="B945" s="25" t="s">
        <v>1928</v>
      </c>
      <c r="C945" s="26" t="s">
        <v>12</v>
      </c>
      <c r="D945" s="24" t="s">
        <v>1865</v>
      </c>
      <c r="E945" s="26" t="s">
        <v>1929</v>
      </c>
      <c r="F945" s="26"/>
      <c r="G945" s="26" t="s">
        <v>1929</v>
      </c>
      <c r="H945" s="26" t="s">
        <v>969</v>
      </c>
      <c r="I945" s="26"/>
      <c r="J945" s="26" t="s">
        <v>18</v>
      </c>
      <c r="K945" s="26" t="s">
        <v>18</v>
      </c>
      <c r="L945" s="26" t="s">
        <v>19</v>
      </c>
      <c r="M945" s="26" t="s">
        <v>19</v>
      </c>
      <c r="N945" s="26" t="s">
        <v>18</v>
      </c>
      <c r="O945" s="26" t="s">
        <v>19</v>
      </c>
      <c r="P945" s="26">
        <v>103.34861100000001</v>
      </c>
      <c r="Q945" s="26">
        <v>4.9430560000000003</v>
      </c>
      <c r="R945" s="26" t="s">
        <v>41</v>
      </c>
      <c r="S945" s="26" t="s">
        <v>1870</v>
      </c>
    </row>
    <row r="946" spans="1:19" hidden="1" x14ac:dyDescent="0.25">
      <c r="A946" s="29">
        <v>4933068</v>
      </c>
      <c r="B946" s="25" t="s">
        <v>1930</v>
      </c>
      <c r="C946" s="26" t="s">
        <v>12</v>
      </c>
      <c r="D946" s="24" t="s">
        <v>1865</v>
      </c>
      <c r="E946" s="26" t="s">
        <v>1892</v>
      </c>
      <c r="F946" s="26" t="s">
        <v>1931</v>
      </c>
      <c r="G946" s="26" t="s">
        <v>1929</v>
      </c>
      <c r="H946" s="26" t="s">
        <v>807</v>
      </c>
      <c r="I946" s="26" t="s">
        <v>969</v>
      </c>
      <c r="J946" s="26" t="s">
        <v>19</v>
      </c>
      <c r="K946" s="26" t="s">
        <v>19</v>
      </c>
      <c r="L946" s="26" t="s">
        <v>19</v>
      </c>
      <c r="M946" s="26" t="s">
        <v>19</v>
      </c>
      <c r="N946" s="26" t="s">
        <v>18</v>
      </c>
      <c r="O946" s="26" t="s">
        <v>19</v>
      </c>
      <c r="P946" s="26">
        <v>103.351389</v>
      </c>
      <c r="Q946" s="26">
        <v>4.9402780000000002</v>
      </c>
      <c r="R946" s="26" t="s">
        <v>41</v>
      </c>
      <c r="S946" s="26" t="s">
        <v>1870</v>
      </c>
    </row>
    <row r="947" spans="1:19" x14ac:dyDescent="0.25">
      <c r="A947" s="28">
        <v>5003028</v>
      </c>
      <c r="B947" s="15" t="s">
        <v>900</v>
      </c>
      <c r="C947" s="19" t="s">
        <v>12</v>
      </c>
      <c r="D947" s="21" t="s">
        <v>633</v>
      </c>
      <c r="E947" s="19" t="s">
        <v>875</v>
      </c>
      <c r="F947" s="19" t="s">
        <v>901</v>
      </c>
      <c r="G947" s="19" t="s">
        <v>453</v>
      </c>
      <c r="H947" s="19" t="s">
        <v>410</v>
      </c>
      <c r="I947" s="19"/>
      <c r="J947" s="19" t="s">
        <v>18</v>
      </c>
      <c r="K947" s="19" t="s">
        <v>18</v>
      </c>
      <c r="L947" s="19" t="s">
        <v>18</v>
      </c>
      <c r="M947" s="19" t="s">
        <v>19</v>
      </c>
      <c r="N947" s="19" t="s">
        <v>18</v>
      </c>
      <c r="O947" s="19" t="s">
        <v>19</v>
      </c>
      <c r="P947" s="19">
        <v>100.386111</v>
      </c>
      <c r="Q947" s="19">
        <v>5.0777780000000003</v>
      </c>
      <c r="R947" s="19"/>
      <c r="S947" s="19" t="s">
        <v>544</v>
      </c>
    </row>
    <row r="948" spans="1:19" x14ac:dyDescent="0.25">
      <c r="A948" s="28">
        <v>5004027</v>
      </c>
      <c r="B948" s="15" t="s">
        <v>902</v>
      </c>
      <c r="C948" s="19" t="s">
        <v>12</v>
      </c>
      <c r="D948" s="21" t="s">
        <v>633</v>
      </c>
      <c r="E948" s="19" t="s">
        <v>875</v>
      </c>
      <c r="F948" s="19" t="s">
        <v>876</v>
      </c>
      <c r="G948" s="19" t="s">
        <v>876</v>
      </c>
      <c r="H948" s="19" t="s">
        <v>903</v>
      </c>
      <c r="I948" s="19"/>
      <c r="J948" s="19" t="s">
        <v>18</v>
      </c>
      <c r="K948" s="19" t="s">
        <v>18</v>
      </c>
      <c r="L948" s="19" t="s">
        <v>18</v>
      </c>
      <c r="M948" s="19" t="s">
        <v>19</v>
      </c>
      <c r="N948" s="19" t="s">
        <v>19</v>
      </c>
      <c r="O948" s="19" t="s">
        <v>19</v>
      </c>
      <c r="P948" s="19">
        <v>100.436111</v>
      </c>
      <c r="Q948" s="19">
        <v>5.019444</v>
      </c>
      <c r="R948" s="19"/>
      <c r="S948" s="19" t="s">
        <v>164</v>
      </c>
    </row>
    <row r="949" spans="1:19" x14ac:dyDescent="0.25">
      <c r="A949" s="28">
        <v>5005001</v>
      </c>
      <c r="B949" s="15" t="s">
        <v>904</v>
      </c>
      <c r="C949" s="19" t="s">
        <v>12</v>
      </c>
      <c r="D949" s="21" t="s">
        <v>633</v>
      </c>
      <c r="E949" s="19" t="s">
        <v>875</v>
      </c>
      <c r="F949" s="19" t="s">
        <v>876</v>
      </c>
      <c r="G949" s="19" t="s">
        <v>876</v>
      </c>
      <c r="H949" s="19" t="s">
        <v>905</v>
      </c>
      <c r="I949" s="19" t="s">
        <v>850</v>
      </c>
      <c r="J949" s="19" t="s">
        <v>19</v>
      </c>
      <c r="K949" s="19" t="s">
        <v>19</v>
      </c>
      <c r="L949" s="19" t="s">
        <v>19</v>
      </c>
      <c r="M949" s="19" t="s">
        <v>19</v>
      </c>
      <c r="N949" s="19" t="s">
        <v>18</v>
      </c>
      <c r="O949" s="19" t="s">
        <v>19</v>
      </c>
      <c r="P949" s="19">
        <v>100.541667</v>
      </c>
      <c r="Q949" s="19">
        <v>5.0083330000000004</v>
      </c>
      <c r="R949" s="19"/>
      <c r="S949" s="19" t="s">
        <v>41</v>
      </c>
    </row>
    <row r="950" spans="1:19" x14ac:dyDescent="0.25">
      <c r="A950" s="28">
        <v>5005002</v>
      </c>
      <c r="B950" s="15" t="s">
        <v>906</v>
      </c>
      <c r="C950" s="19" t="s">
        <v>12</v>
      </c>
      <c r="D950" s="21" t="s">
        <v>633</v>
      </c>
      <c r="E950" s="19" t="s">
        <v>875</v>
      </c>
      <c r="F950" s="19" t="s">
        <v>907</v>
      </c>
      <c r="G950" s="19" t="s">
        <v>453</v>
      </c>
      <c r="H950" s="19" t="s">
        <v>908</v>
      </c>
      <c r="I950" s="19"/>
      <c r="J950" s="19" t="s">
        <v>18</v>
      </c>
      <c r="K950" s="19" t="s">
        <v>18</v>
      </c>
      <c r="L950" s="19" t="s">
        <v>18</v>
      </c>
      <c r="M950" s="19" t="s">
        <v>19</v>
      </c>
      <c r="N950" s="19" t="s">
        <v>19</v>
      </c>
      <c r="O950" s="19" t="s">
        <v>19</v>
      </c>
      <c r="P950" s="19">
        <v>100.591667</v>
      </c>
      <c r="Q950" s="19">
        <v>5.045833</v>
      </c>
      <c r="R950" s="19"/>
      <c r="S950" s="19" t="s">
        <v>41</v>
      </c>
    </row>
    <row r="951" spans="1:19" x14ac:dyDescent="0.25">
      <c r="A951" s="28">
        <v>5005003</v>
      </c>
      <c r="B951" s="15" t="s">
        <v>909</v>
      </c>
      <c r="C951" s="19" t="s">
        <v>12</v>
      </c>
      <c r="D951" s="21" t="s">
        <v>633</v>
      </c>
      <c r="E951" s="19" t="s">
        <v>875</v>
      </c>
      <c r="F951" s="19" t="s">
        <v>876</v>
      </c>
      <c r="G951" s="19" t="s">
        <v>876</v>
      </c>
      <c r="H951" s="19" t="s">
        <v>801</v>
      </c>
      <c r="I951" s="19"/>
      <c r="J951" s="19" t="s">
        <v>18</v>
      </c>
      <c r="K951" s="19" t="s">
        <v>18</v>
      </c>
      <c r="L951" s="19" t="s">
        <v>19</v>
      </c>
      <c r="M951" s="19" t="s">
        <v>19</v>
      </c>
      <c r="N951" s="19" t="s">
        <v>18</v>
      </c>
      <c r="O951" s="19" t="s">
        <v>19</v>
      </c>
      <c r="P951" s="19">
        <v>100.545833</v>
      </c>
      <c r="Q951" s="19">
        <v>5.0138889999999998</v>
      </c>
      <c r="R951" s="19"/>
      <c r="S951" s="19" t="s">
        <v>41</v>
      </c>
    </row>
    <row r="952" spans="1:19" x14ac:dyDescent="0.25">
      <c r="A952" s="28">
        <v>5005004</v>
      </c>
      <c r="B952" s="15" t="s">
        <v>910</v>
      </c>
      <c r="C952" s="19" t="s">
        <v>12</v>
      </c>
      <c r="D952" s="21" t="s">
        <v>633</v>
      </c>
      <c r="E952" s="19" t="s">
        <v>875</v>
      </c>
      <c r="F952" s="19" t="s">
        <v>876</v>
      </c>
      <c r="G952" s="19" t="s">
        <v>876</v>
      </c>
      <c r="H952" s="19" t="s">
        <v>911</v>
      </c>
      <c r="I952" s="19"/>
      <c r="J952" s="19" t="s">
        <v>19</v>
      </c>
      <c r="K952" s="19" t="s">
        <v>19</v>
      </c>
      <c r="L952" s="19" t="s">
        <v>18</v>
      </c>
      <c r="M952" s="19" t="s">
        <v>19</v>
      </c>
      <c r="N952" s="19" t="s">
        <v>19</v>
      </c>
      <c r="O952" s="19" t="s">
        <v>19</v>
      </c>
      <c r="P952" s="19">
        <v>100.504167</v>
      </c>
      <c r="Q952" s="19">
        <v>5.0472219999999997</v>
      </c>
      <c r="R952" s="19"/>
      <c r="S952" s="19" t="s">
        <v>41</v>
      </c>
    </row>
    <row r="953" spans="1:19" x14ac:dyDescent="0.25">
      <c r="A953" s="28">
        <v>5005010</v>
      </c>
      <c r="B953" s="15" t="s">
        <v>912</v>
      </c>
      <c r="C953" s="19" t="s">
        <v>12</v>
      </c>
      <c r="D953" s="21" t="s">
        <v>633</v>
      </c>
      <c r="E953" s="19" t="s">
        <v>875</v>
      </c>
      <c r="F953" s="19" t="s">
        <v>453</v>
      </c>
      <c r="G953" s="19" t="s">
        <v>453</v>
      </c>
      <c r="H953" s="19" t="s">
        <v>490</v>
      </c>
      <c r="I953" s="19"/>
      <c r="J953" s="19" t="s">
        <v>19</v>
      </c>
      <c r="K953" s="19" t="s">
        <v>18</v>
      </c>
      <c r="L953" s="19" t="s">
        <v>18</v>
      </c>
      <c r="M953" s="19" t="s">
        <v>19</v>
      </c>
      <c r="N953" s="19" t="s">
        <v>19</v>
      </c>
      <c r="O953" s="19" t="s">
        <v>19</v>
      </c>
      <c r="P953" s="19">
        <v>100.569444</v>
      </c>
      <c r="Q953" s="19">
        <v>5.072222</v>
      </c>
      <c r="R953" s="19"/>
      <c r="S953" s="19" t="s">
        <v>20</v>
      </c>
    </row>
    <row r="954" spans="1:19" x14ac:dyDescent="0.25">
      <c r="A954" s="28">
        <v>5005013</v>
      </c>
      <c r="B954" s="15" t="s">
        <v>913</v>
      </c>
      <c r="C954" s="19" t="s">
        <v>12</v>
      </c>
      <c r="D954" s="21" t="s">
        <v>633</v>
      </c>
      <c r="E954" s="19" t="s">
        <v>875</v>
      </c>
      <c r="F954" s="19" t="s">
        <v>453</v>
      </c>
      <c r="G954" s="19" t="s">
        <v>453</v>
      </c>
      <c r="H954" s="19" t="s">
        <v>490</v>
      </c>
      <c r="I954" s="19"/>
      <c r="J954" s="19" t="s">
        <v>18</v>
      </c>
      <c r="K954" s="19" t="s">
        <v>18</v>
      </c>
      <c r="L954" s="19" t="s">
        <v>18</v>
      </c>
      <c r="M954" s="19" t="s">
        <v>19</v>
      </c>
      <c r="N954" s="19" t="s">
        <v>19</v>
      </c>
      <c r="O954" s="19" t="s">
        <v>19</v>
      </c>
      <c r="P954" s="19">
        <v>100.547222</v>
      </c>
      <c r="Q954" s="19">
        <v>5.072222</v>
      </c>
      <c r="R954" s="19"/>
      <c r="S954" s="19" t="s">
        <v>20</v>
      </c>
    </row>
    <row r="955" spans="1:19" x14ac:dyDescent="0.25">
      <c r="A955" s="28">
        <v>5005025</v>
      </c>
      <c r="B955" s="15" t="s">
        <v>914</v>
      </c>
      <c r="C955" s="19" t="s">
        <v>12</v>
      </c>
      <c r="D955" s="21" t="s">
        <v>633</v>
      </c>
      <c r="E955" s="19" t="s">
        <v>875</v>
      </c>
      <c r="F955" s="19" t="s">
        <v>876</v>
      </c>
      <c r="G955" s="19" t="s">
        <v>876</v>
      </c>
      <c r="H955" s="19" t="s">
        <v>454</v>
      </c>
      <c r="I955" s="19" t="s">
        <v>915</v>
      </c>
      <c r="J955" s="19" t="s">
        <v>19</v>
      </c>
      <c r="K955" s="19" t="s">
        <v>19</v>
      </c>
      <c r="L955" s="19" t="s">
        <v>18</v>
      </c>
      <c r="M955" s="19" t="s">
        <v>19</v>
      </c>
      <c r="N955" s="19" t="s">
        <v>19</v>
      </c>
      <c r="O955" s="19" t="s">
        <v>19</v>
      </c>
      <c r="P955" s="19">
        <v>100.53611100000001</v>
      </c>
      <c r="Q955" s="19">
        <v>5.0111109999999996</v>
      </c>
      <c r="R955" s="19"/>
      <c r="S955" s="19" t="s">
        <v>164</v>
      </c>
    </row>
    <row r="956" spans="1:19" x14ac:dyDescent="0.25">
      <c r="A956" s="28">
        <v>5006009</v>
      </c>
      <c r="B956" s="15" t="s">
        <v>916</v>
      </c>
      <c r="C956" s="19" t="s">
        <v>12</v>
      </c>
      <c r="D956" s="21" t="s">
        <v>633</v>
      </c>
      <c r="E956" s="19" t="s">
        <v>875</v>
      </c>
      <c r="F956" s="19" t="s">
        <v>907</v>
      </c>
      <c r="G956" s="19" t="s">
        <v>453</v>
      </c>
      <c r="H956" s="19" t="s">
        <v>640</v>
      </c>
      <c r="I956" s="19" t="s">
        <v>917</v>
      </c>
      <c r="J956" s="19" t="s">
        <v>19</v>
      </c>
      <c r="K956" s="19" t="s">
        <v>19</v>
      </c>
      <c r="L956" s="19" t="s">
        <v>18</v>
      </c>
      <c r="M956" s="19" t="s">
        <v>19</v>
      </c>
      <c r="N956" s="19" t="s">
        <v>19</v>
      </c>
      <c r="O956" s="19" t="s">
        <v>19</v>
      </c>
      <c r="P956" s="19">
        <v>100.6</v>
      </c>
      <c r="Q956" s="19">
        <v>5.0763889999999998</v>
      </c>
      <c r="R956" s="19"/>
      <c r="S956" s="19" t="s">
        <v>20</v>
      </c>
    </row>
    <row r="957" spans="1:19" x14ac:dyDescent="0.25">
      <c r="A957" s="28">
        <v>5006021</v>
      </c>
      <c r="B957" s="15" t="s">
        <v>918</v>
      </c>
      <c r="C957" s="19" t="s">
        <v>12</v>
      </c>
      <c r="D957" s="21" t="s">
        <v>633</v>
      </c>
      <c r="E957" s="19" t="s">
        <v>875</v>
      </c>
      <c r="F957" s="19" t="s">
        <v>876</v>
      </c>
      <c r="G957" s="19" t="s">
        <v>876</v>
      </c>
      <c r="H957" s="19" t="s">
        <v>454</v>
      </c>
      <c r="I957" s="19"/>
      <c r="J957" s="19" t="s">
        <v>18</v>
      </c>
      <c r="K957" s="19" t="s">
        <v>18</v>
      </c>
      <c r="L957" s="19" t="s">
        <v>18</v>
      </c>
      <c r="M957" s="19" t="s">
        <v>18</v>
      </c>
      <c r="N957" s="19" t="s">
        <v>18</v>
      </c>
      <c r="O957" s="19" t="s">
        <v>19</v>
      </c>
      <c r="P957" s="19">
        <v>100.65300000000001</v>
      </c>
      <c r="Q957" s="19">
        <v>5.018275</v>
      </c>
      <c r="R957" s="19"/>
      <c r="S957" s="19" t="s">
        <v>41</v>
      </c>
    </row>
    <row r="958" spans="1:19" x14ac:dyDescent="0.25">
      <c r="A958" s="28">
        <v>5007020</v>
      </c>
      <c r="B958" s="15" t="s">
        <v>919</v>
      </c>
      <c r="C958" s="19" t="s">
        <v>12</v>
      </c>
      <c r="D958" s="21" t="s">
        <v>633</v>
      </c>
      <c r="E958" s="19" t="s">
        <v>795</v>
      </c>
      <c r="F958" s="19" t="s">
        <v>876</v>
      </c>
      <c r="G958" s="19" t="s">
        <v>876</v>
      </c>
      <c r="H958" s="19" t="s">
        <v>46</v>
      </c>
      <c r="I958" s="19"/>
      <c r="J958" s="19" t="s">
        <v>18</v>
      </c>
      <c r="K958" s="19" t="s">
        <v>19</v>
      </c>
      <c r="L958" s="19" t="s">
        <v>18</v>
      </c>
      <c r="M958" s="19" t="s">
        <v>19</v>
      </c>
      <c r="N958" s="19" t="s">
        <v>19</v>
      </c>
      <c r="O958" s="19" t="s">
        <v>19</v>
      </c>
      <c r="P958" s="19">
        <v>100.73055600000001</v>
      </c>
      <c r="Q958" s="19">
        <v>5.009722</v>
      </c>
      <c r="R958" s="19"/>
      <c r="S958" s="19" t="s">
        <v>20</v>
      </c>
    </row>
    <row r="959" spans="1:19" x14ac:dyDescent="0.25">
      <c r="A959" s="28">
        <v>5007020</v>
      </c>
      <c r="B959" s="15" t="s">
        <v>920</v>
      </c>
      <c r="C959" s="19" t="s">
        <v>12</v>
      </c>
      <c r="D959" s="21" t="s">
        <v>633</v>
      </c>
      <c r="E959" s="19" t="s">
        <v>795</v>
      </c>
      <c r="F959" s="19" t="s">
        <v>921</v>
      </c>
      <c r="G959" s="19" t="s">
        <v>921</v>
      </c>
      <c r="H959" s="19"/>
      <c r="I959" s="19"/>
      <c r="J959" s="19" t="s">
        <v>19</v>
      </c>
      <c r="K959" s="19" t="s">
        <v>18</v>
      </c>
      <c r="L959" s="19" t="s">
        <v>19</v>
      </c>
      <c r="M959" s="19" t="s">
        <v>18</v>
      </c>
      <c r="N959" s="19" t="s">
        <v>19</v>
      </c>
      <c r="O959" s="19" t="s">
        <v>19</v>
      </c>
      <c r="P959" s="19">
        <v>100.731161</v>
      </c>
      <c r="Q959" s="19">
        <v>5.0118499999999999</v>
      </c>
      <c r="R959" s="19"/>
      <c r="S959" s="19"/>
    </row>
    <row r="960" spans="1:19" x14ac:dyDescent="0.25">
      <c r="A960" s="28">
        <v>5007029</v>
      </c>
      <c r="B960" s="15" t="s">
        <v>922</v>
      </c>
      <c r="C960" s="19" t="s">
        <v>12</v>
      </c>
      <c r="D960" s="21" t="s">
        <v>633</v>
      </c>
      <c r="E960" s="19" t="s">
        <v>795</v>
      </c>
      <c r="F960" s="19" t="s">
        <v>876</v>
      </c>
      <c r="G960" s="19" t="s">
        <v>876</v>
      </c>
      <c r="H960" s="19" t="s">
        <v>410</v>
      </c>
      <c r="I960" s="19"/>
      <c r="J960" s="19" t="s">
        <v>18</v>
      </c>
      <c r="K960" s="19" t="s">
        <v>18</v>
      </c>
      <c r="L960" s="19" t="s">
        <v>18</v>
      </c>
      <c r="M960" s="19" t="s">
        <v>19</v>
      </c>
      <c r="N960" s="19" t="s">
        <v>19</v>
      </c>
      <c r="O960" s="19" t="s">
        <v>19</v>
      </c>
      <c r="P960" s="19">
        <v>100.8</v>
      </c>
      <c r="Q960" s="19">
        <v>5.0222220000000002</v>
      </c>
      <c r="R960" s="19"/>
      <c r="S960" s="19" t="s">
        <v>41</v>
      </c>
    </row>
    <row r="961" spans="1:19" x14ac:dyDescent="0.25">
      <c r="A961" s="28">
        <v>5009071</v>
      </c>
      <c r="B961" s="15" t="s">
        <v>923</v>
      </c>
      <c r="C961" s="19" t="s">
        <v>12</v>
      </c>
      <c r="D961" s="21" t="s">
        <v>633</v>
      </c>
      <c r="E961" s="19" t="s">
        <v>924</v>
      </c>
      <c r="F961" s="19" t="s">
        <v>648</v>
      </c>
      <c r="G961" s="19" t="s">
        <v>648</v>
      </c>
      <c r="H961" s="19" t="s">
        <v>46</v>
      </c>
      <c r="I961" s="19"/>
      <c r="J961" s="19" t="s">
        <v>18</v>
      </c>
      <c r="K961" s="19" t="s">
        <v>18</v>
      </c>
      <c r="L961" s="19" t="s">
        <v>18</v>
      </c>
      <c r="M961" s="19" t="s">
        <v>19</v>
      </c>
      <c r="N961" s="19" t="s">
        <v>19</v>
      </c>
      <c r="O961" s="19" t="s">
        <v>19</v>
      </c>
      <c r="P961" s="19">
        <v>100.97361100000001</v>
      </c>
      <c r="Q961" s="19">
        <v>5.0611110000000004</v>
      </c>
      <c r="R961" s="19"/>
      <c r="S961" s="19" t="s">
        <v>20</v>
      </c>
    </row>
    <row r="962" spans="1:19" hidden="1" x14ac:dyDescent="0.25">
      <c r="A962" s="28">
        <v>5017001</v>
      </c>
      <c r="B962" s="15" t="s">
        <v>1000</v>
      </c>
      <c r="C962" s="19" t="s">
        <v>12</v>
      </c>
      <c r="D962" s="21" t="s">
        <v>976</v>
      </c>
      <c r="E962" s="19" t="s">
        <v>977</v>
      </c>
      <c r="F962" s="19" t="s">
        <v>982</v>
      </c>
      <c r="G962" s="19" t="s">
        <v>976</v>
      </c>
      <c r="H962" s="19" t="s">
        <v>979</v>
      </c>
      <c r="I962" s="19"/>
      <c r="J962" s="19" t="s">
        <v>18</v>
      </c>
      <c r="K962" s="19" t="s">
        <v>18</v>
      </c>
      <c r="L962" s="19" t="s">
        <v>19</v>
      </c>
      <c r="M962" s="19" t="s">
        <v>19</v>
      </c>
      <c r="N962" s="19" t="s">
        <v>18</v>
      </c>
      <c r="O962" s="19"/>
      <c r="P962" s="19">
        <v>101.7625</v>
      </c>
      <c r="Q962" s="19">
        <v>5.098611</v>
      </c>
      <c r="R962" s="19"/>
      <c r="S962" s="19" t="s">
        <v>41</v>
      </c>
    </row>
    <row r="963" spans="1:19" hidden="1" x14ac:dyDescent="0.25">
      <c r="A963" s="28">
        <v>5020030</v>
      </c>
      <c r="B963" s="15" t="s">
        <v>1001</v>
      </c>
      <c r="C963" s="19" t="s">
        <v>12</v>
      </c>
      <c r="D963" s="21" t="s">
        <v>976</v>
      </c>
      <c r="E963" s="19" t="s">
        <v>977</v>
      </c>
      <c r="F963" s="19" t="s">
        <v>993</v>
      </c>
      <c r="G963" s="19" t="s">
        <v>976</v>
      </c>
      <c r="H963" s="19" t="s">
        <v>984</v>
      </c>
      <c r="I963" s="19" t="s">
        <v>1002</v>
      </c>
      <c r="J963" s="19" t="s">
        <v>19</v>
      </c>
      <c r="K963" s="19" t="s">
        <v>19</v>
      </c>
      <c r="L963" s="19" t="s">
        <v>18</v>
      </c>
      <c r="M963" s="19" t="s">
        <v>19</v>
      </c>
      <c r="N963" s="19" t="s">
        <v>19</v>
      </c>
      <c r="O963" s="19"/>
      <c r="P963" s="19">
        <v>102.069444</v>
      </c>
      <c r="Q963" s="19">
        <v>5.0833329999999997</v>
      </c>
      <c r="R963" s="19"/>
      <c r="S963" s="19" t="s">
        <v>41</v>
      </c>
    </row>
    <row r="964" spans="1:19" hidden="1" x14ac:dyDescent="0.25">
      <c r="A964" s="29">
        <v>5028001</v>
      </c>
      <c r="B964" s="25" t="s">
        <v>1932</v>
      </c>
      <c r="C964" s="26" t="s">
        <v>12</v>
      </c>
      <c r="D964" s="24" t="s">
        <v>1865</v>
      </c>
      <c r="E964" s="26" t="s">
        <v>1918</v>
      </c>
      <c r="F964" s="26" t="s">
        <v>1933</v>
      </c>
      <c r="G964" s="26" t="s">
        <v>1920</v>
      </c>
      <c r="H964" s="26" t="s">
        <v>235</v>
      </c>
      <c r="I964" s="26" t="s">
        <v>1447</v>
      </c>
      <c r="J964" s="26" t="s">
        <v>19</v>
      </c>
      <c r="K964" s="26" t="s">
        <v>19</v>
      </c>
      <c r="L964" s="26" t="s">
        <v>19</v>
      </c>
      <c r="M964" s="26" t="s">
        <v>19</v>
      </c>
      <c r="N964" s="26" t="s">
        <v>18</v>
      </c>
      <c r="O964" s="26" t="s">
        <v>19</v>
      </c>
      <c r="P964" s="26">
        <v>102.82638900000001</v>
      </c>
      <c r="Q964" s="26">
        <v>5.0652780000000002</v>
      </c>
      <c r="R964" s="26" t="s">
        <v>41</v>
      </c>
      <c r="S964" s="26" t="s">
        <v>1870</v>
      </c>
    </row>
    <row r="965" spans="1:19" hidden="1" x14ac:dyDescent="0.25">
      <c r="A965" s="29">
        <v>5028033</v>
      </c>
      <c r="B965" s="25" t="s">
        <v>1934</v>
      </c>
      <c r="C965" s="26" t="s">
        <v>12</v>
      </c>
      <c r="D965" s="24" t="s">
        <v>1865</v>
      </c>
      <c r="E965" s="26" t="s">
        <v>1918</v>
      </c>
      <c r="F965" s="26" t="s">
        <v>1935</v>
      </c>
      <c r="G965" s="26" t="s">
        <v>1920</v>
      </c>
      <c r="H965" s="26" t="s">
        <v>1644</v>
      </c>
      <c r="I965" s="26" t="s">
        <v>1687</v>
      </c>
      <c r="J965" s="26" t="s">
        <v>19</v>
      </c>
      <c r="K965" s="26" t="s">
        <v>19</v>
      </c>
      <c r="L965" s="26" t="s">
        <v>19</v>
      </c>
      <c r="M965" s="26" t="s">
        <v>19</v>
      </c>
      <c r="N965" s="26" t="s">
        <v>18</v>
      </c>
      <c r="O965" s="26" t="s">
        <v>19</v>
      </c>
      <c r="P965" s="26">
        <v>102.83750000000001</v>
      </c>
      <c r="Q965" s="26">
        <v>5.019444</v>
      </c>
      <c r="R965" s="26" t="s">
        <v>41</v>
      </c>
      <c r="S965" s="26" t="s">
        <v>1870</v>
      </c>
    </row>
    <row r="966" spans="1:19" hidden="1" x14ac:dyDescent="0.25">
      <c r="A966" s="29">
        <v>5029034</v>
      </c>
      <c r="B966" s="25" t="s">
        <v>1936</v>
      </c>
      <c r="C966" s="26" t="s">
        <v>12</v>
      </c>
      <c r="D966" s="24" t="s">
        <v>1865</v>
      </c>
      <c r="E966" s="26" t="s">
        <v>1916</v>
      </c>
      <c r="F966" s="26" t="s">
        <v>1937</v>
      </c>
      <c r="G966" s="26" t="s">
        <v>1937</v>
      </c>
      <c r="H966" s="26" t="s">
        <v>318</v>
      </c>
      <c r="I966" s="26"/>
      <c r="J966" s="26" t="s">
        <v>18</v>
      </c>
      <c r="K966" s="26" t="s">
        <v>18</v>
      </c>
      <c r="L966" s="26" t="s">
        <v>19</v>
      </c>
      <c r="M966" s="26" t="s">
        <v>18</v>
      </c>
      <c r="N966" s="26" t="s">
        <v>18</v>
      </c>
      <c r="O966" s="26" t="s">
        <v>19</v>
      </c>
      <c r="P966" s="26">
        <v>102.941667</v>
      </c>
      <c r="Q966" s="26">
        <v>5.0666669999999998</v>
      </c>
      <c r="R966" s="26" t="s">
        <v>41</v>
      </c>
      <c r="S966" s="26" t="s">
        <v>1870</v>
      </c>
    </row>
    <row r="967" spans="1:19" hidden="1" x14ac:dyDescent="0.25">
      <c r="A967" s="29">
        <v>5029035</v>
      </c>
      <c r="B967" s="25" t="s">
        <v>1938</v>
      </c>
      <c r="C967" s="26" t="s">
        <v>12</v>
      </c>
      <c r="D967" s="24" t="s">
        <v>1865</v>
      </c>
      <c r="E967" s="26" t="s">
        <v>1916</v>
      </c>
      <c r="F967" s="26"/>
      <c r="G967" s="26" t="s">
        <v>1865</v>
      </c>
      <c r="H967" s="26" t="s">
        <v>471</v>
      </c>
      <c r="I967" s="26"/>
      <c r="J967" s="26" t="s">
        <v>18</v>
      </c>
      <c r="K967" s="26" t="s">
        <v>18</v>
      </c>
      <c r="L967" s="26" t="s">
        <v>19</v>
      </c>
      <c r="M967" s="26" t="s">
        <v>19</v>
      </c>
      <c r="N967" s="26" t="s">
        <v>18</v>
      </c>
      <c r="O967" s="26" t="s">
        <v>19</v>
      </c>
      <c r="P967" s="26">
        <v>102.95138900000001</v>
      </c>
      <c r="Q967" s="26">
        <v>5.0736109999999996</v>
      </c>
      <c r="R967" s="26" t="s">
        <v>472</v>
      </c>
      <c r="S967" s="26" t="s">
        <v>1870</v>
      </c>
    </row>
    <row r="968" spans="1:19" hidden="1" x14ac:dyDescent="0.25">
      <c r="A968" s="29">
        <v>5029036</v>
      </c>
      <c r="B968" s="25" t="s">
        <v>1939</v>
      </c>
      <c r="C968" s="26" t="s">
        <v>12</v>
      </c>
      <c r="D968" s="24" t="s">
        <v>1865</v>
      </c>
      <c r="E968" s="26" t="s">
        <v>1916</v>
      </c>
      <c r="F968" s="26"/>
      <c r="G968" s="26" t="s">
        <v>1865</v>
      </c>
      <c r="H968" s="26" t="s">
        <v>1159</v>
      </c>
      <c r="I968" s="26"/>
      <c r="J968" s="26" t="s">
        <v>18</v>
      </c>
      <c r="K968" s="26" t="s">
        <v>18</v>
      </c>
      <c r="L968" s="26" t="s">
        <v>19</v>
      </c>
      <c r="M968" s="26" t="s">
        <v>19</v>
      </c>
      <c r="N968" s="26" t="s">
        <v>18</v>
      </c>
      <c r="O968" s="26" t="s">
        <v>19</v>
      </c>
      <c r="P968" s="26">
        <v>102.969444</v>
      </c>
      <c r="Q968" s="26">
        <v>5.0083330000000004</v>
      </c>
      <c r="R968" s="26" t="s">
        <v>41</v>
      </c>
      <c r="S968" s="26" t="s">
        <v>1870</v>
      </c>
    </row>
    <row r="969" spans="1:19" ht="30" hidden="1" x14ac:dyDescent="0.25">
      <c r="A969" s="29">
        <v>5030039</v>
      </c>
      <c r="B969" s="25" t="s">
        <v>2653</v>
      </c>
      <c r="C969" s="26" t="s">
        <v>12</v>
      </c>
      <c r="D969" s="24" t="s">
        <v>1865</v>
      </c>
      <c r="E969" s="26" t="s">
        <v>1916</v>
      </c>
      <c r="F969" s="26"/>
      <c r="G969" s="26" t="s">
        <v>1865</v>
      </c>
      <c r="H969" s="26" t="s">
        <v>1009</v>
      </c>
      <c r="I969" s="26"/>
      <c r="J969" s="26" t="s">
        <v>18</v>
      </c>
      <c r="K969" s="26" t="s">
        <v>18</v>
      </c>
      <c r="L969" s="26" t="s">
        <v>19</v>
      </c>
      <c r="M969" s="26" t="s">
        <v>19</v>
      </c>
      <c r="N969" s="26" t="s">
        <v>18</v>
      </c>
      <c r="O969" s="26" t="s">
        <v>19</v>
      </c>
      <c r="P969" s="26">
        <v>103.01388900000001</v>
      </c>
      <c r="Q969" s="26">
        <v>5.0708330000000004</v>
      </c>
      <c r="R969" s="26" t="s">
        <v>41</v>
      </c>
      <c r="S969" s="26" t="s">
        <v>1870</v>
      </c>
    </row>
    <row r="970" spans="1:19" hidden="1" x14ac:dyDescent="0.25">
      <c r="A970" s="29">
        <v>5031001</v>
      </c>
      <c r="B970" s="25" t="s">
        <v>1940</v>
      </c>
      <c r="C970" s="26" t="s">
        <v>12</v>
      </c>
      <c r="D970" s="24" t="s">
        <v>1865</v>
      </c>
      <c r="E970" s="26" t="s">
        <v>1929</v>
      </c>
      <c r="F970" s="26" t="s">
        <v>1941</v>
      </c>
      <c r="G970" s="26" t="s">
        <v>1941</v>
      </c>
      <c r="H970" s="26"/>
      <c r="I970" s="26"/>
      <c r="J970" s="26" t="s">
        <v>19</v>
      </c>
      <c r="K970" s="26" t="s">
        <v>18</v>
      </c>
      <c r="L970" s="26" t="s">
        <v>19</v>
      </c>
      <c r="M970" s="26" t="s">
        <v>18</v>
      </c>
      <c r="N970" s="26" t="s">
        <v>19</v>
      </c>
      <c r="O970" s="26" t="s">
        <v>19</v>
      </c>
      <c r="P970" s="26">
        <v>103.147222</v>
      </c>
      <c r="Q970" s="26">
        <v>5.0980559999999997</v>
      </c>
      <c r="R970" s="26"/>
      <c r="S970" s="26" t="s">
        <v>1870</v>
      </c>
    </row>
    <row r="971" spans="1:19" hidden="1" x14ac:dyDescent="0.25">
      <c r="A971" s="29">
        <v>5031062</v>
      </c>
      <c r="B971" s="25" t="s">
        <v>1942</v>
      </c>
      <c r="C971" s="26" t="s">
        <v>12</v>
      </c>
      <c r="D971" s="24" t="s">
        <v>1865</v>
      </c>
      <c r="E971" s="26" t="s">
        <v>1916</v>
      </c>
      <c r="F971" s="26"/>
      <c r="G971" s="26" t="s">
        <v>1929</v>
      </c>
      <c r="H971" s="26" t="s">
        <v>1018</v>
      </c>
      <c r="I971" s="26"/>
      <c r="J971" s="26" t="s">
        <v>18</v>
      </c>
      <c r="K971" s="26" t="s">
        <v>18</v>
      </c>
      <c r="L971" s="26" t="s">
        <v>19</v>
      </c>
      <c r="M971" s="26" t="s">
        <v>19</v>
      </c>
      <c r="N971" s="26" t="s">
        <v>18</v>
      </c>
      <c r="O971" s="26" t="s">
        <v>19</v>
      </c>
      <c r="P971" s="26">
        <v>103.11111099999999</v>
      </c>
      <c r="Q971" s="26">
        <v>5.0416670000000003</v>
      </c>
      <c r="R971" s="26" t="s">
        <v>41</v>
      </c>
      <c r="S971" s="26" t="s">
        <v>1870</v>
      </c>
    </row>
    <row r="972" spans="1:19" hidden="1" x14ac:dyDescent="0.25">
      <c r="A972" s="29">
        <v>5033069</v>
      </c>
      <c r="B972" s="25" t="s">
        <v>1943</v>
      </c>
      <c r="C972" s="26" t="s">
        <v>12</v>
      </c>
      <c r="D972" s="24" t="s">
        <v>1865</v>
      </c>
      <c r="E972" s="26" t="s">
        <v>1929</v>
      </c>
      <c r="F972" s="26" t="s">
        <v>1931</v>
      </c>
      <c r="G972" s="26" t="s">
        <v>1929</v>
      </c>
      <c r="H972" s="26" t="s">
        <v>1944</v>
      </c>
      <c r="I972" s="26" t="s">
        <v>820</v>
      </c>
      <c r="J972" s="26" t="s">
        <v>19</v>
      </c>
      <c r="K972" s="26" t="s">
        <v>19</v>
      </c>
      <c r="L972" s="26" t="s">
        <v>18</v>
      </c>
      <c r="M972" s="26" t="s">
        <v>19</v>
      </c>
      <c r="N972" s="26" t="s">
        <v>19</v>
      </c>
      <c r="O972" s="26" t="s">
        <v>19</v>
      </c>
      <c r="P972" s="26">
        <v>103.301389</v>
      </c>
      <c r="Q972" s="26">
        <v>5.019444</v>
      </c>
      <c r="R972" s="26" t="s">
        <v>41</v>
      </c>
      <c r="S972" s="26" t="s">
        <v>1870</v>
      </c>
    </row>
    <row r="973" spans="1:19" x14ac:dyDescent="0.25">
      <c r="A973" s="28">
        <v>5104011</v>
      </c>
      <c r="B973" s="15" t="s">
        <v>925</v>
      </c>
      <c r="C973" s="19" t="s">
        <v>12</v>
      </c>
      <c r="D973" s="21" t="s">
        <v>633</v>
      </c>
      <c r="E973" s="19" t="s">
        <v>875</v>
      </c>
      <c r="F973" s="19" t="s">
        <v>453</v>
      </c>
      <c r="G973" s="19" t="s">
        <v>453</v>
      </c>
      <c r="H973" s="19" t="s">
        <v>691</v>
      </c>
      <c r="I973" s="19" t="s">
        <v>850</v>
      </c>
      <c r="J973" s="19" t="s">
        <v>19</v>
      </c>
      <c r="K973" s="19" t="s">
        <v>19</v>
      </c>
      <c r="L973" s="19" t="s">
        <v>18</v>
      </c>
      <c r="M973" s="19" t="s">
        <v>19</v>
      </c>
      <c r="N973" s="19" t="s">
        <v>19</v>
      </c>
      <c r="O973" s="19" t="s">
        <v>19</v>
      </c>
      <c r="P973" s="19">
        <v>100.48611099999999</v>
      </c>
      <c r="Q973" s="19">
        <v>5.1305560000000003</v>
      </c>
      <c r="R973" s="19"/>
      <c r="S973" s="19" t="s">
        <v>221</v>
      </c>
    </row>
    <row r="974" spans="1:19" x14ac:dyDescent="0.25">
      <c r="A974" s="28">
        <v>5104012</v>
      </c>
      <c r="B974" s="15" t="s">
        <v>926</v>
      </c>
      <c r="C974" s="19" t="s">
        <v>12</v>
      </c>
      <c r="D974" s="21" t="s">
        <v>633</v>
      </c>
      <c r="E974" s="19" t="s">
        <v>875</v>
      </c>
      <c r="F974" s="19" t="s">
        <v>927</v>
      </c>
      <c r="G974" s="19" t="s">
        <v>453</v>
      </c>
      <c r="H974" s="19" t="s">
        <v>928</v>
      </c>
      <c r="I974" s="19"/>
      <c r="J974" s="19" t="s">
        <v>18</v>
      </c>
      <c r="K974" s="19" t="s">
        <v>18</v>
      </c>
      <c r="L974" s="19" t="s">
        <v>18</v>
      </c>
      <c r="M974" s="19" t="s">
        <v>19</v>
      </c>
      <c r="N974" s="19" t="s">
        <v>19</v>
      </c>
      <c r="O974" s="19" t="s">
        <v>19</v>
      </c>
      <c r="P974" s="19">
        <v>100.45694399999999</v>
      </c>
      <c r="Q974" s="19">
        <v>5.1027779999999998</v>
      </c>
      <c r="R974" s="19"/>
      <c r="S974" s="19" t="s">
        <v>544</v>
      </c>
    </row>
    <row r="975" spans="1:19" x14ac:dyDescent="0.25">
      <c r="A975" s="28">
        <v>5104052</v>
      </c>
      <c r="B975" s="15" t="s">
        <v>929</v>
      </c>
      <c r="C975" s="19" t="s">
        <v>12</v>
      </c>
      <c r="D975" s="21" t="s">
        <v>633</v>
      </c>
      <c r="E975" s="19" t="s">
        <v>875</v>
      </c>
      <c r="F975" s="19" t="s">
        <v>930</v>
      </c>
      <c r="G975" s="19" t="s">
        <v>453</v>
      </c>
      <c r="H975" s="19" t="s">
        <v>490</v>
      </c>
      <c r="I975" s="19"/>
      <c r="J975" s="19" t="s">
        <v>18</v>
      </c>
      <c r="K975" s="19" t="s">
        <v>19</v>
      </c>
      <c r="L975" s="19" t="s">
        <v>18</v>
      </c>
      <c r="M975" s="19" t="s">
        <v>19</v>
      </c>
      <c r="N975" s="19" t="s">
        <v>19</v>
      </c>
      <c r="O975" s="19" t="s">
        <v>19</v>
      </c>
      <c r="P975" s="19">
        <v>100.4375</v>
      </c>
      <c r="Q975" s="19">
        <v>5.1472220000000002</v>
      </c>
      <c r="R975" s="19"/>
      <c r="S975" s="19" t="s">
        <v>41</v>
      </c>
    </row>
    <row r="976" spans="1:19" hidden="1" x14ac:dyDescent="0.25">
      <c r="A976" s="28">
        <v>5105051</v>
      </c>
      <c r="B976" s="15" t="s">
        <v>1781</v>
      </c>
      <c r="C976" s="19" t="s">
        <v>12</v>
      </c>
      <c r="D976" s="21" t="s">
        <v>1782</v>
      </c>
      <c r="E976" s="19" t="s">
        <v>1783</v>
      </c>
      <c r="F976" s="19" t="s">
        <v>1784</v>
      </c>
      <c r="G976" s="19" t="s">
        <v>453</v>
      </c>
      <c r="H976" s="19" t="s">
        <v>1641</v>
      </c>
      <c r="I976" s="19"/>
      <c r="J976" s="19" t="s">
        <v>18</v>
      </c>
      <c r="K976" s="19" t="s">
        <v>18</v>
      </c>
      <c r="L976" s="19" t="s">
        <v>18</v>
      </c>
      <c r="M976" s="19" t="s">
        <v>19</v>
      </c>
      <c r="N976" s="19" t="s">
        <v>18</v>
      </c>
      <c r="O976" s="19" t="s">
        <v>19</v>
      </c>
      <c r="P976" s="19">
        <v>100.53611100000001</v>
      </c>
      <c r="Q976" s="19">
        <v>5.161111</v>
      </c>
      <c r="R976" s="19" t="s">
        <v>164</v>
      </c>
      <c r="S976" s="19"/>
    </row>
    <row r="977" spans="1:19" hidden="1" x14ac:dyDescent="0.25">
      <c r="A977" s="29">
        <v>5105105</v>
      </c>
      <c r="B977" s="25" t="s">
        <v>450</v>
      </c>
      <c r="C977" s="26" t="s">
        <v>12</v>
      </c>
      <c r="D977" s="24" t="s">
        <v>451</v>
      </c>
      <c r="E977" s="26" t="s">
        <v>452</v>
      </c>
      <c r="F977" s="26" t="s">
        <v>453</v>
      </c>
      <c r="G977" s="26" t="s">
        <v>453</v>
      </c>
      <c r="H977" s="26" t="s">
        <v>454</v>
      </c>
      <c r="I977" s="26" t="s">
        <v>973</v>
      </c>
      <c r="J977" s="26" t="s">
        <v>19</v>
      </c>
      <c r="K977" s="26" t="s">
        <v>19</v>
      </c>
      <c r="L977" s="26" t="s">
        <v>18</v>
      </c>
      <c r="M977" s="26" t="s">
        <v>19</v>
      </c>
      <c r="N977" s="26" t="s">
        <v>19</v>
      </c>
      <c r="O977" s="26" t="s">
        <v>19</v>
      </c>
      <c r="P977" s="26">
        <v>100.531944</v>
      </c>
      <c r="Q977" s="26">
        <v>5.125</v>
      </c>
      <c r="R977" s="26"/>
      <c r="S977" s="26" t="s">
        <v>164</v>
      </c>
    </row>
    <row r="978" spans="1:19" hidden="1" x14ac:dyDescent="0.25">
      <c r="A978" s="29">
        <v>5105106</v>
      </c>
      <c r="B978" s="25" t="s">
        <v>455</v>
      </c>
      <c r="C978" s="26" t="s">
        <v>12</v>
      </c>
      <c r="D978" s="24" t="s">
        <v>451</v>
      </c>
      <c r="E978" s="26" t="s">
        <v>456</v>
      </c>
      <c r="F978" s="26"/>
      <c r="G978" s="26" t="s">
        <v>453</v>
      </c>
      <c r="H978" s="26" t="s">
        <v>457</v>
      </c>
      <c r="I978" s="26"/>
      <c r="J978" s="26" t="s">
        <v>18</v>
      </c>
      <c r="K978" s="26" t="s">
        <v>18</v>
      </c>
      <c r="L978" s="26" t="s">
        <v>18</v>
      </c>
      <c r="M978" s="26" t="s">
        <v>19</v>
      </c>
      <c r="N978" s="26" t="s">
        <v>19</v>
      </c>
      <c r="O978" s="26" t="s">
        <v>19</v>
      </c>
      <c r="P978" s="26">
        <v>100.506944</v>
      </c>
      <c r="Q978" s="26">
        <v>5.1277780000000002</v>
      </c>
      <c r="R978" s="26"/>
      <c r="S978" s="26" t="s">
        <v>41</v>
      </c>
    </row>
    <row r="979" spans="1:19" x14ac:dyDescent="0.25">
      <c r="A979" s="28">
        <v>5106003</v>
      </c>
      <c r="B979" s="15" t="s">
        <v>931</v>
      </c>
      <c r="C979" s="19" t="s">
        <v>12</v>
      </c>
      <c r="D979" s="21" t="s">
        <v>633</v>
      </c>
      <c r="E979" s="19" t="s">
        <v>932</v>
      </c>
      <c r="F979" s="19" t="s">
        <v>453</v>
      </c>
      <c r="G979" s="19" t="s">
        <v>453</v>
      </c>
      <c r="H979" s="19" t="s">
        <v>908</v>
      </c>
      <c r="I979" s="19" t="s">
        <v>933</v>
      </c>
      <c r="J979" s="19" t="s">
        <v>19</v>
      </c>
      <c r="K979" s="19" t="s">
        <v>19</v>
      </c>
      <c r="L979" s="19" t="s">
        <v>19</v>
      </c>
      <c r="M979" s="19" t="s">
        <v>19</v>
      </c>
      <c r="N979" s="19" t="s">
        <v>18</v>
      </c>
      <c r="O979" s="19" t="s">
        <v>19</v>
      </c>
      <c r="P979" s="19">
        <v>100.666667</v>
      </c>
      <c r="Q979" s="19">
        <v>5.1944439999999998</v>
      </c>
      <c r="R979" s="19"/>
      <c r="S979" s="19" t="s">
        <v>41</v>
      </c>
    </row>
    <row r="980" spans="1:19" x14ac:dyDescent="0.25">
      <c r="A980" s="28">
        <v>5106004</v>
      </c>
      <c r="B980" s="15" t="s">
        <v>934</v>
      </c>
      <c r="C980" s="19" t="s">
        <v>12</v>
      </c>
      <c r="D980" s="21" t="s">
        <v>633</v>
      </c>
      <c r="E980" s="19" t="s">
        <v>932</v>
      </c>
      <c r="F980" s="19" t="s">
        <v>453</v>
      </c>
      <c r="G980" s="19" t="s">
        <v>453</v>
      </c>
      <c r="H980" s="19" t="s">
        <v>935</v>
      </c>
      <c r="I980" s="19"/>
      <c r="J980" s="19" t="s">
        <v>18</v>
      </c>
      <c r="K980" s="19" t="s">
        <v>18</v>
      </c>
      <c r="L980" s="19" t="s">
        <v>18</v>
      </c>
      <c r="M980" s="19" t="s">
        <v>19</v>
      </c>
      <c r="N980" s="19" t="s">
        <v>19</v>
      </c>
      <c r="O980" s="19" t="s">
        <v>19</v>
      </c>
      <c r="P980" s="19">
        <v>100.652778</v>
      </c>
      <c r="Q980" s="19">
        <v>5.1624999999999996</v>
      </c>
      <c r="R980" s="19"/>
      <c r="S980" s="19" t="s">
        <v>20</v>
      </c>
    </row>
    <row r="981" spans="1:19" x14ac:dyDescent="0.25">
      <c r="A981" s="28">
        <v>5106008</v>
      </c>
      <c r="B981" s="15" t="s">
        <v>936</v>
      </c>
      <c r="C981" s="19" t="s">
        <v>12</v>
      </c>
      <c r="D981" s="21" t="s">
        <v>633</v>
      </c>
      <c r="E981" s="19" t="s">
        <v>932</v>
      </c>
      <c r="F981" s="19" t="s">
        <v>453</v>
      </c>
      <c r="G981" s="19" t="s">
        <v>453</v>
      </c>
      <c r="H981" s="19" t="s">
        <v>937</v>
      </c>
      <c r="I981" s="19"/>
      <c r="J981" s="19" t="s">
        <v>18</v>
      </c>
      <c r="K981" s="19" t="s">
        <v>18</v>
      </c>
      <c r="L981" s="19" t="s">
        <v>18</v>
      </c>
      <c r="M981" s="19" t="s">
        <v>19</v>
      </c>
      <c r="N981" s="19" t="s">
        <v>19</v>
      </c>
      <c r="O981" s="19" t="s">
        <v>19</v>
      </c>
      <c r="P981" s="19">
        <v>100.697222</v>
      </c>
      <c r="Q981" s="19">
        <v>5.1375000000000002</v>
      </c>
      <c r="R981" s="19"/>
      <c r="S981" s="19" t="s">
        <v>20</v>
      </c>
    </row>
    <row r="982" spans="1:19" hidden="1" x14ac:dyDescent="0.25">
      <c r="A982" s="29">
        <v>5106104</v>
      </c>
      <c r="B982" s="25" t="s">
        <v>458</v>
      </c>
      <c r="C982" s="26" t="s">
        <v>12</v>
      </c>
      <c r="D982" s="24" t="s">
        <v>451</v>
      </c>
      <c r="E982" s="26" t="s">
        <v>452</v>
      </c>
      <c r="F982" s="26" t="s">
        <v>453</v>
      </c>
      <c r="G982" s="26" t="s">
        <v>453</v>
      </c>
      <c r="H982" s="26" t="s">
        <v>459</v>
      </c>
      <c r="I982" s="26" t="s">
        <v>460</v>
      </c>
      <c r="J982" s="26" t="s">
        <v>19</v>
      </c>
      <c r="K982" s="26" t="s">
        <v>19</v>
      </c>
      <c r="L982" s="26" t="s">
        <v>18</v>
      </c>
      <c r="M982" s="26" t="s">
        <v>19</v>
      </c>
      <c r="N982" s="26" t="s">
        <v>19</v>
      </c>
      <c r="O982" s="26" t="s">
        <v>19</v>
      </c>
      <c r="P982" s="26">
        <v>100.629167</v>
      </c>
      <c r="Q982" s="26">
        <v>5.1583329999999998</v>
      </c>
      <c r="R982" s="26"/>
      <c r="S982" s="26" t="s">
        <v>20</v>
      </c>
    </row>
    <row r="983" spans="1:19" x14ac:dyDescent="0.25">
      <c r="A983" s="28">
        <v>5107006</v>
      </c>
      <c r="B983" s="15" t="s">
        <v>938</v>
      </c>
      <c r="C983" s="19" t="s">
        <v>12</v>
      </c>
      <c r="D983" s="21" t="s">
        <v>633</v>
      </c>
      <c r="E983" s="19" t="s">
        <v>795</v>
      </c>
      <c r="F983" s="19" t="s">
        <v>939</v>
      </c>
      <c r="G983" s="19" t="s">
        <v>940</v>
      </c>
      <c r="H983" s="19" t="s">
        <v>471</v>
      </c>
      <c r="I983" s="19"/>
      <c r="J983" s="19" t="s">
        <v>18</v>
      </c>
      <c r="K983" s="19" t="s">
        <v>18</v>
      </c>
      <c r="L983" s="19" t="s">
        <v>18</v>
      </c>
      <c r="M983" s="19" t="s">
        <v>19</v>
      </c>
      <c r="N983" s="19" t="s">
        <v>19</v>
      </c>
      <c r="O983" s="19" t="s">
        <v>19</v>
      </c>
      <c r="P983" s="19">
        <v>100.772222</v>
      </c>
      <c r="Q983" s="19">
        <v>5.1069440000000004</v>
      </c>
      <c r="R983" s="19"/>
      <c r="S983" s="19" t="s">
        <v>20</v>
      </c>
    </row>
    <row r="984" spans="1:19" x14ac:dyDescent="0.25">
      <c r="A984" s="28">
        <v>5107007</v>
      </c>
      <c r="B984" s="15" t="s">
        <v>941</v>
      </c>
      <c r="C984" s="19" t="s">
        <v>12</v>
      </c>
      <c r="D984" s="21" t="s">
        <v>633</v>
      </c>
      <c r="E984" s="19" t="s">
        <v>932</v>
      </c>
      <c r="F984" s="19" t="s">
        <v>942</v>
      </c>
      <c r="G984" s="19" t="s">
        <v>453</v>
      </c>
      <c r="H984" s="19" t="s">
        <v>943</v>
      </c>
      <c r="I984" s="19"/>
      <c r="J984" s="19" t="s">
        <v>18</v>
      </c>
      <c r="K984" s="19" t="s">
        <v>18</v>
      </c>
      <c r="L984" s="19" t="s">
        <v>18</v>
      </c>
      <c r="M984" s="19" t="s">
        <v>19</v>
      </c>
      <c r="N984" s="19" t="s">
        <v>19</v>
      </c>
      <c r="O984" s="19" t="s">
        <v>19</v>
      </c>
      <c r="P984" s="19">
        <v>100.711111</v>
      </c>
      <c r="Q984" s="19">
        <v>5.1291669999999998</v>
      </c>
      <c r="R984" s="19"/>
      <c r="S984" s="19" t="s">
        <v>20</v>
      </c>
    </row>
    <row r="985" spans="1:19" x14ac:dyDescent="0.25">
      <c r="A985" s="28">
        <v>5108005</v>
      </c>
      <c r="B985" s="15" t="s">
        <v>944</v>
      </c>
      <c r="C985" s="19" t="s">
        <v>12</v>
      </c>
      <c r="D985" s="21" t="s">
        <v>633</v>
      </c>
      <c r="E985" s="19" t="s">
        <v>932</v>
      </c>
      <c r="F985" s="19" t="s">
        <v>940</v>
      </c>
      <c r="G985" s="19" t="s">
        <v>940</v>
      </c>
      <c r="H985" s="19" t="s">
        <v>490</v>
      </c>
      <c r="I985" s="19"/>
      <c r="J985" s="19" t="s">
        <v>18</v>
      </c>
      <c r="K985" s="19" t="s">
        <v>18</v>
      </c>
      <c r="L985" s="19" t="s">
        <v>18</v>
      </c>
      <c r="M985" s="19" t="s">
        <v>18</v>
      </c>
      <c r="N985" s="19" t="s">
        <v>19</v>
      </c>
      <c r="O985" s="19" t="s">
        <v>19</v>
      </c>
      <c r="P985" s="19">
        <v>100.805556</v>
      </c>
      <c r="Q985" s="19">
        <v>5.1222219999999998</v>
      </c>
      <c r="R985" s="19"/>
      <c r="S985" s="19" t="s">
        <v>41</v>
      </c>
    </row>
    <row r="986" spans="1:19" x14ac:dyDescent="0.25">
      <c r="A986" s="28">
        <v>5109070</v>
      </c>
      <c r="B986" s="15" t="s">
        <v>945</v>
      </c>
      <c r="C986" s="19" t="s">
        <v>12</v>
      </c>
      <c r="D986" s="21" t="s">
        <v>633</v>
      </c>
      <c r="E986" s="19" t="s">
        <v>800</v>
      </c>
      <c r="F986" s="19" t="s">
        <v>946</v>
      </c>
      <c r="G986" s="19" t="s">
        <v>648</v>
      </c>
      <c r="H986" s="19" t="s">
        <v>947</v>
      </c>
      <c r="I986" s="19"/>
      <c r="J986" s="19" t="s">
        <v>18</v>
      </c>
      <c r="K986" s="19" t="s">
        <v>18</v>
      </c>
      <c r="L986" s="19" t="s">
        <v>18</v>
      </c>
      <c r="M986" s="19" t="s">
        <v>19</v>
      </c>
      <c r="N986" s="19" t="s">
        <v>18</v>
      </c>
      <c r="O986" s="19" t="s">
        <v>19</v>
      </c>
      <c r="P986" s="19">
        <v>100.983333</v>
      </c>
      <c r="Q986" s="19">
        <v>5.1194439999999997</v>
      </c>
      <c r="R986" s="19"/>
      <c r="S986" s="19" t="s">
        <v>41</v>
      </c>
    </row>
    <row r="987" spans="1:19" hidden="1" x14ac:dyDescent="0.25">
      <c r="A987" s="28">
        <v>5120001</v>
      </c>
      <c r="B987" s="15" t="s">
        <v>1003</v>
      </c>
      <c r="C987" s="19" t="s">
        <v>12</v>
      </c>
      <c r="D987" s="21" t="s">
        <v>976</v>
      </c>
      <c r="E987" s="19" t="s">
        <v>977</v>
      </c>
      <c r="F987" s="19"/>
      <c r="G987" s="19"/>
      <c r="H987" s="19"/>
      <c r="I987" s="19"/>
      <c r="J987" s="19" t="s">
        <v>19</v>
      </c>
      <c r="K987" s="19" t="s">
        <v>18</v>
      </c>
      <c r="L987" s="19" t="s">
        <v>19</v>
      </c>
      <c r="M987" s="19" t="s">
        <v>18</v>
      </c>
      <c r="N987" s="19" t="s">
        <v>19</v>
      </c>
      <c r="O987" s="19"/>
      <c r="P987" s="19">
        <v>102.045833</v>
      </c>
      <c r="Q987" s="19">
        <v>5.1486109999999998</v>
      </c>
      <c r="R987" s="19"/>
      <c r="S987" s="19"/>
    </row>
    <row r="988" spans="1:19" hidden="1" x14ac:dyDescent="0.25">
      <c r="A988" s="28">
        <v>5120025</v>
      </c>
      <c r="B988" s="15" t="s">
        <v>1004</v>
      </c>
      <c r="C988" s="19" t="s">
        <v>12</v>
      </c>
      <c r="D988" s="21" t="s">
        <v>976</v>
      </c>
      <c r="E988" s="19" t="s">
        <v>977</v>
      </c>
      <c r="F988" s="19" t="s">
        <v>982</v>
      </c>
      <c r="G988" s="19" t="s">
        <v>976</v>
      </c>
      <c r="H988" s="19" t="s">
        <v>935</v>
      </c>
      <c r="I988" s="19"/>
      <c r="J988" s="19" t="s">
        <v>18</v>
      </c>
      <c r="K988" s="19" t="s">
        <v>18</v>
      </c>
      <c r="L988" s="19" t="s">
        <v>19</v>
      </c>
      <c r="M988" s="19" t="s">
        <v>19</v>
      </c>
      <c r="N988" s="19" t="s">
        <v>18</v>
      </c>
      <c r="O988" s="19"/>
      <c r="P988" s="19">
        <v>102.04861099999999</v>
      </c>
      <c r="Q988" s="19">
        <v>5.1458329999999997</v>
      </c>
      <c r="R988" s="19"/>
      <c r="S988" s="19" t="s">
        <v>41</v>
      </c>
    </row>
    <row r="989" spans="1:19" hidden="1" x14ac:dyDescent="0.25">
      <c r="A989" s="29">
        <v>5128001</v>
      </c>
      <c r="B989" s="25" t="s">
        <v>1945</v>
      </c>
      <c r="C989" s="26" t="s">
        <v>12</v>
      </c>
      <c r="D989" s="24" t="s">
        <v>1865</v>
      </c>
      <c r="E989" s="26" t="s">
        <v>1916</v>
      </c>
      <c r="F989" s="26"/>
      <c r="G989" s="26" t="s">
        <v>1865</v>
      </c>
      <c r="H989" s="26" t="s">
        <v>1447</v>
      </c>
      <c r="I989" s="26"/>
      <c r="J989" s="26" t="s">
        <v>18</v>
      </c>
      <c r="K989" s="26" t="s">
        <v>18</v>
      </c>
      <c r="L989" s="26" t="s">
        <v>19</v>
      </c>
      <c r="M989" s="26" t="s">
        <v>19</v>
      </c>
      <c r="N989" s="26" t="s">
        <v>18</v>
      </c>
      <c r="O989" s="26" t="s">
        <v>19</v>
      </c>
      <c r="P989" s="26">
        <v>102.844444</v>
      </c>
      <c r="Q989" s="26">
        <v>5.1430559999999996</v>
      </c>
      <c r="R989" s="26" t="s">
        <v>41</v>
      </c>
      <c r="S989" s="26" t="s">
        <v>1870</v>
      </c>
    </row>
    <row r="990" spans="1:19" hidden="1" x14ac:dyDescent="0.25">
      <c r="A990" s="29">
        <v>5129040</v>
      </c>
      <c r="B990" s="25" t="s">
        <v>1946</v>
      </c>
      <c r="C990" s="26" t="s">
        <v>12</v>
      </c>
      <c r="D990" s="24" t="s">
        <v>1865</v>
      </c>
      <c r="E990" s="26" t="s">
        <v>1916</v>
      </c>
      <c r="F990" s="26"/>
      <c r="G990" s="26" t="s">
        <v>1865</v>
      </c>
      <c r="H990" s="26" t="s">
        <v>1081</v>
      </c>
      <c r="I990" s="26"/>
      <c r="J990" s="26" t="s">
        <v>18</v>
      </c>
      <c r="K990" s="26" t="s">
        <v>18</v>
      </c>
      <c r="L990" s="26" t="s">
        <v>19</v>
      </c>
      <c r="M990" s="26" t="s">
        <v>19</v>
      </c>
      <c r="N990" s="26" t="s">
        <v>18</v>
      </c>
      <c r="O990" s="26" t="s">
        <v>19</v>
      </c>
      <c r="P990" s="26">
        <v>102.90138899999999</v>
      </c>
      <c r="Q990" s="26">
        <v>5.1722219999999997</v>
      </c>
      <c r="R990" s="26" t="s">
        <v>41</v>
      </c>
      <c r="S990" s="26" t="s">
        <v>1870</v>
      </c>
    </row>
    <row r="991" spans="1:19" hidden="1" x14ac:dyDescent="0.25">
      <c r="A991" s="29">
        <v>5130007</v>
      </c>
      <c r="B991" s="25" t="s">
        <v>1947</v>
      </c>
      <c r="C991" s="26" t="s">
        <v>12</v>
      </c>
      <c r="D991" s="24" t="s">
        <v>1865</v>
      </c>
      <c r="E991" s="26" t="s">
        <v>1916</v>
      </c>
      <c r="F991" s="26" t="s">
        <v>1948</v>
      </c>
      <c r="G991" s="26" t="s">
        <v>1949</v>
      </c>
      <c r="H991" s="26"/>
      <c r="I991" s="26"/>
      <c r="J991" s="26" t="s">
        <v>19</v>
      </c>
      <c r="K991" s="26" t="s">
        <v>18</v>
      </c>
      <c r="L991" s="26" t="s">
        <v>19</v>
      </c>
      <c r="M991" s="26" t="s">
        <v>18</v>
      </c>
      <c r="N991" s="26" t="s">
        <v>19</v>
      </c>
      <c r="O991" s="26" t="s">
        <v>19</v>
      </c>
      <c r="P991" s="26">
        <v>103</v>
      </c>
      <c r="Q991" s="26">
        <v>5.0999999999999996</v>
      </c>
      <c r="R991" s="26"/>
      <c r="S991" s="26" t="s">
        <v>1870</v>
      </c>
    </row>
    <row r="992" spans="1:19" hidden="1" x14ac:dyDescent="0.25">
      <c r="A992" s="29">
        <v>5130063</v>
      </c>
      <c r="B992" s="25" t="s">
        <v>1950</v>
      </c>
      <c r="C992" s="26" t="s">
        <v>12</v>
      </c>
      <c r="D992" s="24" t="s">
        <v>1865</v>
      </c>
      <c r="E992" s="26" t="s">
        <v>1916</v>
      </c>
      <c r="F992" s="26"/>
      <c r="G992" s="26" t="s">
        <v>1865</v>
      </c>
      <c r="H992" s="26" t="s">
        <v>242</v>
      </c>
      <c r="I992" s="26"/>
      <c r="J992" s="26" t="s">
        <v>18</v>
      </c>
      <c r="K992" s="26" t="s">
        <v>18</v>
      </c>
      <c r="L992" s="26" t="s">
        <v>19</v>
      </c>
      <c r="M992" s="26" t="s">
        <v>19</v>
      </c>
      <c r="N992" s="26" t="s">
        <v>18</v>
      </c>
      <c r="O992" s="26" t="s">
        <v>19</v>
      </c>
      <c r="P992" s="26">
        <v>103.090278</v>
      </c>
      <c r="Q992" s="26">
        <v>5.1027779999999998</v>
      </c>
      <c r="R992" s="26" t="s">
        <v>544</v>
      </c>
      <c r="S992" s="26" t="s">
        <v>1870</v>
      </c>
    </row>
    <row r="993" spans="1:19" hidden="1" x14ac:dyDescent="0.25">
      <c r="A993" s="29">
        <v>5131064</v>
      </c>
      <c r="B993" s="25" t="s">
        <v>1951</v>
      </c>
      <c r="C993" s="26" t="s">
        <v>12</v>
      </c>
      <c r="D993" s="24" t="s">
        <v>1865</v>
      </c>
      <c r="E993" s="26" t="s">
        <v>1929</v>
      </c>
      <c r="F993" s="26"/>
      <c r="G993" s="26" t="s">
        <v>1865</v>
      </c>
      <c r="H993" s="26" t="s">
        <v>1048</v>
      </c>
      <c r="I993" s="26"/>
      <c r="J993" s="26" t="s">
        <v>18</v>
      </c>
      <c r="K993" s="26" t="s">
        <v>18</v>
      </c>
      <c r="L993" s="26" t="s">
        <v>19</v>
      </c>
      <c r="M993" s="26" t="s">
        <v>19</v>
      </c>
      <c r="N993" s="26" t="s">
        <v>18</v>
      </c>
      <c r="O993" s="26" t="s">
        <v>19</v>
      </c>
      <c r="P993" s="26">
        <v>103.1</v>
      </c>
      <c r="Q993" s="26">
        <v>5.1916669999999998</v>
      </c>
      <c r="R993" s="26" t="s">
        <v>472</v>
      </c>
      <c r="S993" s="26" t="s">
        <v>1870</v>
      </c>
    </row>
    <row r="994" spans="1:19" hidden="1" x14ac:dyDescent="0.25">
      <c r="A994" s="29">
        <v>5132001</v>
      </c>
      <c r="B994" s="25" t="s">
        <v>1952</v>
      </c>
      <c r="C994" s="26" t="s">
        <v>12</v>
      </c>
      <c r="D994" s="24" t="s">
        <v>1865</v>
      </c>
      <c r="E994" s="26" t="s">
        <v>1866</v>
      </c>
      <c r="F994" s="26" t="s">
        <v>1931</v>
      </c>
      <c r="G994" s="26" t="s">
        <v>1929</v>
      </c>
      <c r="H994" s="26" t="s">
        <v>1953</v>
      </c>
      <c r="I994" s="26" t="s">
        <v>820</v>
      </c>
      <c r="J994" s="26" t="s">
        <v>19</v>
      </c>
      <c r="K994" s="26" t="s">
        <v>19</v>
      </c>
      <c r="L994" s="26" t="s">
        <v>18</v>
      </c>
      <c r="M994" s="26" t="s">
        <v>19</v>
      </c>
      <c r="N994" s="26" t="s">
        <v>19</v>
      </c>
      <c r="O994" s="26" t="s">
        <v>19</v>
      </c>
      <c r="P994" s="26">
        <v>103.238889</v>
      </c>
      <c r="Q994" s="26">
        <v>5.1124999999999998</v>
      </c>
      <c r="R994" s="26" t="s">
        <v>41</v>
      </c>
      <c r="S994" s="26" t="s">
        <v>1870</v>
      </c>
    </row>
    <row r="995" spans="1:19" hidden="1" x14ac:dyDescent="0.25">
      <c r="A995" s="28">
        <v>5202021</v>
      </c>
      <c r="B995" s="15" t="s">
        <v>1785</v>
      </c>
      <c r="C995" s="19" t="s">
        <v>12</v>
      </c>
      <c r="D995" s="21" t="s">
        <v>1782</v>
      </c>
      <c r="E995" s="19" t="s">
        <v>1786</v>
      </c>
      <c r="F995" s="19" t="s">
        <v>1787</v>
      </c>
      <c r="G995" s="19" t="s">
        <v>1787</v>
      </c>
      <c r="H995" s="19" t="s">
        <v>1201</v>
      </c>
      <c r="I995" s="19"/>
      <c r="J995" s="19" t="s">
        <v>19</v>
      </c>
      <c r="K995" s="19" t="s">
        <v>19</v>
      </c>
      <c r="L995" s="19" t="s">
        <v>18</v>
      </c>
      <c r="M995" s="19" t="s">
        <v>19</v>
      </c>
      <c r="N995" s="19" t="s">
        <v>19</v>
      </c>
      <c r="O995" s="19" t="s">
        <v>19</v>
      </c>
      <c r="P995" s="19">
        <v>100.272222</v>
      </c>
      <c r="Q995" s="19">
        <v>5.2972219999999997</v>
      </c>
      <c r="R995" s="19"/>
      <c r="S995" s="19"/>
    </row>
    <row r="996" spans="1:19" hidden="1" x14ac:dyDescent="0.25">
      <c r="A996" s="28">
        <v>5204048</v>
      </c>
      <c r="B996" s="15" t="s">
        <v>1788</v>
      </c>
      <c r="C996" s="19" t="s">
        <v>12</v>
      </c>
      <c r="D996" s="21" t="s">
        <v>1782</v>
      </c>
      <c r="E996" s="19" t="s">
        <v>1783</v>
      </c>
      <c r="F996" s="19" t="s">
        <v>1789</v>
      </c>
      <c r="G996" s="19" t="s">
        <v>1790</v>
      </c>
      <c r="H996" s="19" t="s">
        <v>39</v>
      </c>
      <c r="I996" s="19"/>
      <c r="J996" s="19" t="s">
        <v>18</v>
      </c>
      <c r="K996" s="19" t="s">
        <v>18</v>
      </c>
      <c r="L996" s="19" t="s">
        <v>18</v>
      </c>
      <c r="M996" s="19" t="s">
        <v>18</v>
      </c>
      <c r="N996" s="19" t="s">
        <v>18</v>
      </c>
      <c r="O996" s="19" t="s">
        <v>19</v>
      </c>
      <c r="P996" s="19">
        <v>100.48055600000001</v>
      </c>
      <c r="Q996" s="19">
        <v>5.2938890000000001</v>
      </c>
      <c r="R996" s="19" t="s">
        <v>41</v>
      </c>
      <c r="S996" s="19"/>
    </row>
    <row r="997" spans="1:19" hidden="1" x14ac:dyDescent="0.25">
      <c r="A997" s="28">
        <v>5204049</v>
      </c>
      <c r="B997" s="15" t="s">
        <v>1791</v>
      </c>
      <c r="C997" s="19" t="s">
        <v>12</v>
      </c>
      <c r="D997" s="21" t="s">
        <v>1782</v>
      </c>
      <c r="E997" s="19" t="s">
        <v>1783</v>
      </c>
      <c r="F997" s="19" t="s">
        <v>1790</v>
      </c>
      <c r="G997" s="19" t="s">
        <v>1790</v>
      </c>
      <c r="H997" s="19" t="s">
        <v>1423</v>
      </c>
      <c r="I997" s="19"/>
      <c r="J997" s="19" t="s">
        <v>18</v>
      </c>
      <c r="K997" s="19" t="s">
        <v>18</v>
      </c>
      <c r="L997" s="19" t="s">
        <v>18</v>
      </c>
      <c r="M997" s="19" t="s">
        <v>19</v>
      </c>
      <c r="N997" s="19" t="s">
        <v>18</v>
      </c>
      <c r="O997" s="19" t="s">
        <v>19</v>
      </c>
      <c r="P997" s="19">
        <v>100.430556</v>
      </c>
      <c r="Q997" s="19">
        <v>5.2569439999999998</v>
      </c>
      <c r="R997" s="19" t="s">
        <v>20</v>
      </c>
      <c r="S997" s="19"/>
    </row>
    <row r="998" spans="1:19" hidden="1" x14ac:dyDescent="0.25">
      <c r="A998" s="28">
        <v>5205050</v>
      </c>
      <c r="B998" s="15" t="s">
        <v>1792</v>
      </c>
      <c r="C998" s="19" t="s">
        <v>12</v>
      </c>
      <c r="D998" s="21" t="s">
        <v>1782</v>
      </c>
      <c r="E998" s="19" t="s">
        <v>1783</v>
      </c>
      <c r="F998" s="19" t="s">
        <v>1793</v>
      </c>
      <c r="G998" s="19" t="s">
        <v>1790</v>
      </c>
      <c r="H998" s="19" t="s">
        <v>468</v>
      </c>
      <c r="I998" s="19" t="s">
        <v>1794</v>
      </c>
      <c r="J998" s="19" t="s">
        <v>19</v>
      </c>
      <c r="K998" s="19" t="s">
        <v>19</v>
      </c>
      <c r="L998" s="19" t="s">
        <v>18</v>
      </c>
      <c r="M998" s="19" t="s">
        <v>19</v>
      </c>
      <c r="N998" s="19" t="s">
        <v>18</v>
      </c>
      <c r="O998" s="19" t="s">
        <v>19</v>
      </c>
      <c r="P998" s="19">
        <v>100.496667</v>
      </c>
      <c r="Q998" s="19">
        <v>5.2158329999999999</v>
      </c>
      <c r="R998" s="19" t="s">
        <v>472</v>
      </c>
      <c r="S998" s="19"/>
    </row>
    <row r="999" spans="1:19" hidden="1" x14ac:dyDescent="0.25">
      <c r="A999" s="28">
        <v>5205052</v>
      </c>
      <c r="B999" s="15" t="s">
        <v>1795</v>
      </c>
      <c r="C999" s="19" t="s">
        <v>12</v>
      </c>
      <c r="D999" s="21" t="s">
        <v>1782</v>
      </c>
      <c r="E999" s="19" t="s">
        <v>1783</v>
      </c>
      <c r="F999" s="19" t="s">
        <v>1793</v>
      </c>
      <c r="G999" s="19" t="s">
        <v>1790</v>
      </c>
      <c r="H999" s="19" t="s">
        <v>468</v>
      </c>
      <c r="I999" s="19"/>
      <c r="J999" s="19" t="s">
        <v>19</v>
      </c>
      <c r="K999" s="19" t="s">
        <v>18</v>
      </c>
      <c r="L999" s="19" t="s">
        <v>18</v>
      </c>
      <c r="M999" s="19" t="s">
        <v>19</v>
      </c>
      <c r="N999" s="19" t="s">
        <v>18</v>
      </c>
      <c r="O999" s="19" t="s">
        <v>19</v>
      </c>
      <c r="P999" s="19">
        <v>100.496667</v>
      </c>
      <c r="Q999" s="19">
        <v>5.2158329999999999</v>
      </c>
      <c r="R999" s="19" t="s">
        <v>472</v>
      </c>
      <c r="S999" s="19"/>
    </row>
    <row r="1000" spans="1:19" x14ac:dyDescent="0.25">
      <c r="A1000" s="28">
        <v>5206003</v>
      </c>
      <c r="B1000" s="15" t="s">
        <v>948</v>
      </c>
      <c r="C1000" s="19" t="s">
        <v>12</v>
      </c>
      <c r="D1000" s="21" t="s">
        <v>633</v>
      </c>
      <c r="E1000" s="19" t="s">
        <v>932</v>
      </c>
      <c r="F1000" s="19" t="s">
        <v>453</v>
      </c>
      <c r="G1000" s="19" t="s">
        <v>453</v>
      </c>
      <c r="H1000" s="19" t="s">
        <v>747</v>
      </c>
      <c r="I1000" s="19" t="s">
        <v>235</v>
      </c>
      <c r="J1000" s="19" t="s">
        <v>19</v>
      </c>
      <c r="K1000" s="19" t="s">
        <v>19</v>
      </c>
      <c r="L1000" s="19" t="s">
        <v>18</v>
      </c>
      <c r="M1000" s="19" t="s">
        <v>19</v>
      </c>
      <c r="N1000" s="19" t="s">
        <v>19</v>
      </c>
      <c r="O1000" s="19" t="s">
        <v>19</v>
      </c>
      <c r="P1000" s="19">
        <v>100.691667</v>
      </c>
      <c r="Q1000" s="19">
        <v>5.2194440000000002</v>
      </c>
      <c r="R1000" s="19"/>
      <c r="S1000" s="19" t="s">
        <v>279</v>
      </c>
    </row>
    <row r="1001" spans="1:19" x14ac:dyDescent="0.25">
      <c r="A1001" s="28">
        <v>5206032</v>
      </c>
      <c r="B1001" s="15" t="s">
        <v>949</v>
      </c>
      <c r="C1001" s="19" t="s">
        <v>12</v>
      </c>
      <c r="D1001" s="21" t="s">
        <v>633</v>
      </c>
      <c r="E1001" s="19" t="s">
        <v>932</v>
      </c>
      <c r="F1001" s="19" t="s">
        <v>875</v>
      </c>
      <c r="G1001" s="19" t="s">
        <v>875</v>
      </c>
      <c r="H1001" s="19"/>
      <c r="I1001" s="19"/>
      <c r="J1001" s="19" t="s">
        <v>19</v>
      </c>
      <c r="K1001" s="19" t="s">
        <v>18</v>
      </c>
      <c r="L1001" s="19" t="s">
        <v>19</v>
      </c>
      <c r="M1001" s="19" t="s">
        <v>18</v>
      </c>
      <c r="N1001" s="19" t="s">
        <v>19</v>
      </c>
      <c r="O1001" s="19" t="s">
        <v>19</v>
      </c>
      <c r="P1001" s="19">
        <v>100.688889</v>
      </c>
      <c r="Q1001" s="19">
        <v>5.2291670000000003</v>
      </c>
      <c r="R1001" s="19"/>
      <c r="S1001" s="19"/>
    </row>
    <row r="1002" spans="1:19" hidden="1" x14ac:dyDescent="0.25">
      <c r="A1002" s="29">
        <v>5206102</v>
      </c>
      <c r="B1002" s="25" t="s">
        <v>461</v>
      </c>
      <c r="C1002" s="26" t="s">
        <v>12</v>
      </c>
      <c r="D1002" s="24" t="s">
        <v>451</v>
      </c>
      <c r="E1002" s="26" t="s">
        <v>456</v>
      </c>
      <c r="F1002" s="26" t="s">
        <v>453</v>
      </c>
      <c r="G1002" s="26" t="s">
        <v>453</v>
      </c>
      <c r="H1002" s="26" t="s">
        <v>462</v>
      </c>
      <c r="I1002" s="26"/>
      <c r="J1002" s="26" t="s">
        <v>18</v>
      </c>
      <c r="K1002" s="26" t="s">
        <v>18</v>
      </c>
      <c r="L1002" s="26" t="s">
        <v>18</v>
      </c>
      <c r="M1002" s="26" t="s">
        <v>19</v>
      </c>
      <c r="N1002" s="26" t="s">
        <v>19</v>
      </c>
      <c r="O1002" s="26" t="s">
        <v>19</v>
      </c>
      <c r="P1002" s="26">
        <v>100.629167</v>
      </c>
      <c r="Q1002" s="26">
        <v>5.2819440000000002</v>
      </c>
      <c r="R1002" s="26"/>
      <c r="S1002" s="26" t="s">
        <v>41</v>
      </c>
    </row>
    <row r="1003" spans="1:19" hidden="1" x14ac:dyDescent="0.25">
      <c r="A1003" s="29">
        <v>5206103</v>
      </c>
      <c r="B1003" s="25" t="s">
        <v>463</v>
      </c>
      <c r="C1003" s="26" t="s">
        <v>12</v>
      </c>
      <c r="D1003" s="24" t="s">
        <v>451</v>
      </c>
      <c r="E1003" s="26" t="s">
        <v>456</v>
      </c>
      <c r="F1003" s="26" t="s">
        <v>453</v>
      </c>
      <c r="G1003" s="26" t="s">
        <v>453</v>
      </c>
      <c r="H1003" s="26" t="s">
        <v>145</v>
      </c>
      <c r="I1003" s="26"/>
      <c r="J1003" s="26" t="s">
        <v>18</v>
      </c>
      <c r="K1003" s="26" t="s">
        <v>18</v>
      </c>
      <c r="L1003" s="26" t="s">
        <v>18</v>
      </c>
      <c r="M1003" s="26" t="s">
        <v>19</v>
      </c>
      <c r="N1003" s="26" t="s">
        <v>19</v>
      </c>
      <c r="O1003" s="26" t="s">
        <v>19</v>
      </c>
      <c r="P1003" s="26">
        <v>100.658333</v>
      </c>
      <c r="Q1003" s="26">
        <v>5.2249999999999996</v>
      </c>
      <c r="R1003" s="26"/>
      <c r="S1003" s="26" t="s">
        <v>20</v>
      </c>
    </row>
    <row r="1004" spans="1:19" x14ac:dyDescent="0.25">
      <c r="A1004" s="28">
        <v>5207001</v>
      </c>
      <c r="B1004" s="15" t="s">
        <v>950</v>
      </c>
      <c r="C1004" s="19" t="s">
        <v>12</v>
      </c>
      <c r="D1004" s="21" t="s">
        <v>633</v>
      </c>
      <c r="E1004" s="19" t="s">
        <v>932</v>
      </c>
      <c r="F1004" s="19" t="s">
        <v>453</v>
      </c>
      <c r="G1004" s="19" t="s">
        <v>453</v>
      </c>
      <c r="H1004" s="19" t="s">
        <v>951</v>
      </c>
      <c r="I1004" s="19"/>
      <c r="J1004" s="19" t="s">
        <v>18</v>
      </c>
      <c r="K1004" s="19" t="s">
        <v>18</v>
      </c>
      <c r="L1004" s="19" t="s">
        <v>19</v>
      </c>
      <c r="M1004" s="19" t="s">
        <v>19</v>
      </c>
      <c r="N1004" s="19" t="s">
        <v>18</v>
      </c>
      <c r="O1004" s="19" t="s">
        <v>19</v>
      </c>
      <c r="P1004" s="19">
        <v>100.70138900000001</v>
      </c>
      <c r="Q1004" s="19">
        <v>5.2166670000000002</v>
      </c>
      <c r="R1004" s="19"/>
      <c r="S1004" s="19" t="s">
        <v>41</v>
      </c>
    </row>
    <row r="1005" spans="1:19" x14ac:dyDescent="0.25">
      <c r="A1005" s="28">
        <v>5207002</v>
      </c>
      <c r="B1005" s="15" t="s">
        <v>952</v>
      </c>
      <c r="C1005" s="19" t="s">
        <v>12</v>
      </c>
      <c r="D1005" s="21" t="s">
        <v>633</v>
      </c>
      <c r="E1005" s="19" t="s">
        <v>932</v>
      </c>
      <c r="F1005" s="19" t="s">
        <v>953</v>
      </c>
      <c r="G1005" s="19" t="s">
        <v>453</v>
      </c>
      <c r="H1005" s="19" t="s">
        <v>954</v>
      </c>
      <c r="I1005" s="19"/>
      <c r="J1005" s="19" t="s">
        <v>18</v>
      </c>
      <c r="K1005" s="19" t="s">
        <v>18</v>
      </c>
      <c r="L1005" s="19" t="s">
        <v>18</v>
      </c>
      <c r="M1005" s="19" t="s">
        <v>19</v>
      </c>
      <c r="N1005" s="19" t="s">
        <v>19</v>
      </c>
      <c r="O1005" s="19" t="s">
        <v>19</v>
      </c>
      <c r="P1005" s="19">
        <v>100.727778</v>
      </c>
      <c r="Q1005" s="19">
        <v>5.2513889999999996</v>
      </c>
      <c r="R1005" s="19"/>
      <c r="S1005" s="19" t="s">
        <v>20</v>
      </c>
    </row>
    <row r="1006" spans="1:19" x14ac:dyDescent="0.25">
      <c r="A1006" s="28">
        <v>5210069</v>
      </c>
      <c r="B1006" s="15" t="s">
        <v>955</v>
      </c>
      <c r="C1006" s="19" t="s">
        <v>12</v>
      </c>
      <c r="D1006" s="21" t="s">
        <v>633</v>
      </c>
      <c r="E1006" s="19" t="s">
        <v>956</v>
      </c>
      <c r="F1006" s="19" t="s">
        <v>648</v>
      </c>
      <c r="G1006" s="19" t="s">
        <v>648</v>
      </c>
      <c r="H1006" s="19" t="s">
        <v>40</v>
      </c>
      <c r="I1006" s="19"/>
      <c r="J1006" s="19" t="s">
        <v>18</v>
      </c>
      <c r="K1006" s="19" t="s">
        <v>18</v>
      </c>
      <c r="L1006" s="19" t="s">
        <v>19</v>
      </c>
      <c r="M1006" s="19" t="s">
        <v>19</v>
      </c>
      <c r="N1006" s="19" t="s">
        <v>18</v>
      </c>
      <c r="O1006" s="19" t="s">
        <v>19</v>
      </c>
      <c r="P1006" s="19">
        <v>101.058333</v>
      </c>
      <c r="Q1006" s="19">
        <v>5.2986110000000002</v>
      </c>
      <c r="R1006" s="19"/>
      <c r="S1006" s="19" t="s">
        <v>41</v>
      </c>
    </row>
    <row r="1007" spans="1:19" hidden="1" x14ac:dyDescent="0.25">
      <c r="A1007" s="28">
        <v>5216001</v>
      </c>
      <c r="B1007" s="15" t="s">
        <v>1005</v>
      </c>
      <c r="C1007" s="19" t="s">
        <v>12</v>
      </c>
      <c r="D1007" s="21" t="s">
        <v>976</v>
      </c>
      <c r="E1007" s="19" t="s">
        <v>977</v>
      </c>
      <c r="F1007" s="19" t="s">
        <v>982</v>
      </c>
      <c r="G1007" s="19" t="s">
        <v>1006</v>
      </c>
      <c r="H1007" s="19" t="s">
        <v>979</v>
      </c>
      <c r="I1007" s="19"/>
      <c r="J1007" s="19" t="s">
        <v>18</v>
      </c>
      <c r="K1007" s="19" t="s">
        <v>18</v>
      </c>
      <c r="L1007" s="19" t="s">
        <v>19</v>
      </c>
      <c r="M1007" s="19" t="s">
        <v>19</v>
      </c>
      <c r="N1007" s="19" t="s">
        <v>18</v>
      </c>
      <c r="O1007" s="19"/>
      <c r="P1007" s="19">
        <v>101.66249999999999</v>
      </c>
      <c r="Q1007" s="19">
        <v>5.2513889999999996</v>
      </c>
      <c r="R1007" s="19"/>
      <c r="S1007" s="19" t="s">
        <v>41</v>
      </c>
    </row>
    <row r="1008" spans="1:19" hidden="1" x14ac:dyDescent="0.25">
      <c r="A1008" s="28">
        <v>5217001</v>
      </c>
      <c r="B1008" s="15" t="s">
        <v>1007</v>
      </c>
      <c r="C1008" s="19" t="s">
        <v>12</v>
      </c>
      <c r="D1008" s="21" t="s">
        <v>976</v>
      </c>
      <c r="E1008" s="19" t="s">
        <v>977</v>
      </c>
      <c r="F1008" s="19" t="s">
        <v>982</v>
      </c>
      <c r="G1008" s="19" t="s">
        <v>976</v>
      </c>
      <c r="H1008" s="19" t="s">
        <v>979</v>
      </c>
      <c r="I1008" s="19"/>
      <c r="J1008" s="19" t="s">
        <v>18</v>
      </c>
      <c r="K1008" s="19" t="s">
        <v>18</v>
      </c>
      <c r="L1008" s="19" t="s">
        <v>19</v>
      </c>
      <c r="M1008" s="19" t="s">
        <v>18</v>
      </c>
      <c r="N1008" s="19" t="s">
        <v>18</v>
      </c>
      <c r="O1008" s="19"/>
      <c r="P1008" s="19">
        <v>101.759722</v>
      </c>
      <c r="Q1008" s="19">
        <v>5.213889</v>
      </c>
      <c r="R1008" s="19"/>
      <c r="S1008" s="19" t="s">
        <v>41</v>
      </c>
    </row>
    <row r="1009" spans="1:19" hidden="1" x14ac:dyDescent="0.25">
      <c r="A1009" s="28">
        <v>5220031</v>
      </c>
      <c r="B1009" s="15" t="s">
        <v>1008</v>
      </c>
      <c r="C1009" s="19" t="s">
        <v>12</v>
      </c>
      <c r="D1009" s="21" t="s">
        <v>976</v>
      </c>
      <c r="E1009" s="19" t="s">
        <v>996</v>
      </c>
      <c r="F1009" s="19" t="s">
        <v>993</v>
      </c>
      <c r="G1009" s="19" t="s">
        <v>976</v>
      </c>
      <c r="H1009" s="19" t="s">
        <v>1009</v>
      </c>
      <c r="I1009" s="19" t="s">
        <v>1010</v>
      </c>
      <c r="J1009" s="19" t="s">
        <v>19</v>
      </c>
      <c r="K1009" s="19" t="s">
        <v>19</v>
      </c>
      <c r="L1009" s="19" t="s">
        <v>18</v>
      </c>
      <c r="M1009" s="19" t="s">
        <v>19</v>
      </c>
      <c r="N1009" s="19" t="s">
        <v>19</v>
      </c>
      <c r="O1009" s="19"/>
      <c r="P1009" s="19">
        <v>102.01944399999999</v>
      </c>
      <c r="Q1009" s="19">
        <v>5.3</v>
      </c>
      <c r="R1009" s="19"/>
      <c r="S1009" s="19" t="s">
        <v>41</v>
      </c>
    </row>
    <row r="1010" spans="1:19" hidden="1" x14ac:dyDescent="0.25">
      <c r="A1010" s="28">
        <v>5222052</v>
      </c>
      <c r="B1010" s="15" t="s">
        <v>1011</v>
      </c>
      <c r="C1010" s="19" t="s">
        <v>12</v>
      </c>
      <c r="D1010" s="21" t="s">
        <v>976</v>
      </c>
      <c r="E1010" s="19" t="s">
        <v>996</v>
      </c>
      <c r="F1010" s="19" t="s">
        <v>997</v>
      </c>
      <c r="G1010" s="19" t="s">
        <v>1012</v>
      </c>
      <c r="H1010" s="19"/>
      <c r="I1010" s="19"/>
      <c r="J1010" s="19" t="s">
        <v>19</v>
      </c>
      <c r="K1010" s="19" t="s">
        <v>18</v>
      </c>
      <c r="L1010" s="19" t="s">
        <v>19</v>
      </c>
      <c r="M1010" s="19" t="s">
        <v>18</v>
      </c>
      <c r="N1010" s="19" t="s">
        <v>19</v>
      </c>
      <c r="O1010" s="19"/>
      <c r="P1010" s="19">
        <v>102.266667</v>
      </c>
      <c r="Q1010" s="19">
        <v>5.266667</v>
      </c>
      <c r="R1010" s="19"/>
      <c r="S1010" s="19"/>
    </row>
    <row r="1011" spans="1:19" hidden="1" x14ac:dyDescent="0.25">
      <c r="A1011" s="29">
        <v>5226001</v>
      </c>
      <c r="B1011" s="25" t="s">
        <v>1954</v>
      </c>
      <c r="C1011" s="26" t="s">
        <v>12</v>
      </c>
      <c r="D1011" s="24" t="s">
        <v>1865</v>
      </c>
      <c r="E1011" s="26" t="s">
        <v>1918</v>
      </c>
      <c r="F1011" s="26" t="s">
        <v>1955</v>
      </c>
      <c r="G1011" s="26" t="s">
        <v>1920</v>
      </c>
      <c r="H1011" s="26" t="s">
        <v>979</v>
      </c>
      <c r="I1011" s="26" t="s">
        <v>1213</v>
      </c>
      <c r="J1011" s="26" t="s">
        <v>19</v>
      </c>
      <c r="K1011" s="26" t="s">
        <v>19</v>
      </c>
      <c r="L1011" s="26" t="s">
        <v>19</v>
      </c>
      <c r="M1011" s="26" t="s">
        <v>19</v>
      </c>
      <c r="N1011" s="26" t="s">
        <v>18</v>
      </c>
      <c r="O1011" s="26" t="s">
        <v>19</v>
      </c>
      <c r="P1011" s="26">
        <v>102.66249999999999</v>
      </c>
      <c r="Q1011" s="26">
        <v>5.2027780000000003</v>
      </c>
      <c r="R1011" s="26" t="s">
        <v>41</v>
      </c>
      <c r="S1011" s="26" t="s">
        <v>1870</v>
      </c>
    </row>
    <row r="1012" spans="1:19" hidden="1" x14ac:dyDescent="0.25">
      <c r="A1012" s="29">
        <v>5230041</v>
      </c>
      <c r="B1012" s="25" t="s">
        <v>1956</v>
      </c>
      <c r="C1012" s="26" t="s">
        <v>12</v>
      </c>
      <c r="D1012" s="24" t="s">
        <v>1865</v>
      </c>
      <c r="E1012" s="26" t="s">
        <v>1916</v>
      </c>
      <c r="F1012" s="26"/>
      <c r="G1012" s="26" t="s">
        <v>1865</v>
      </c>
      <c r="H1012" s="26" t="s">
        <v>1048</v>
      </c>
      <c r="I1012" s="26"/>
      <c r="J1012" s="26" t="s">
        <v>18</v>
      </c>
      <c r="K1012" s="26" t="s">
        <v>18</v>
      </c>
      <c r="L1012" s="26" t="s">
        <v>19</v>
      </c>
      <c r="M1012" s="26" t="s">
        <v>19</v>
      </c>
      <c r="N1012" s="26" t="s">
        <v>18</v>
      </c>
      <c r="O1012" s="26" t="s">
        <v>19</v>
      </c>
      <c r="P1012" s="26">
        <v>103.031944</v>
      </c>
      <c r="Q1012" s="26">
        <v>5.2027780000000003</v>
      </c>
      <c r="R1012" s="26" t="s">
        <v>41</v>
      </c>
      <c r="S1012" s="26" t="s">
        <v>1870</v>
      </c>
    </row>
    <row r="1013" spans="1:19" hidden="1" x14ac:dyDescent="0.25">
      <c r="A1013" s="29">
        <v>5230042</v>
      </c>
      <c r="B1013" s="25" t="s">
        <v>1957</v>
      </c>
      <c r="C1013" s="26" t="s">
        <v>12</v>
      </c>
      <c r="D1013" s="24" t="s">
        <v>1865</v>
      </c>
      <c r="E1013" s="26" t="s">
        <v>1958</v>
      </c>
      <c r="F1013" s="26"/>
      <c r="G1013" s="26" t="s">
        <v>1865</v>
      </c>
      <c r="H1013" s="26" t="s">
        <v>1959</v>
      </c>
      <c r="I1013" s="26"/>
      <c r="J1013" s="26" t="s">
        <v>18</v>
      </c>
      <c r="K1013" s="26" t="s">
        <v>18</v>
      </c>
      <c r="L1013" s="26" t="s">
        <v>19</v>
      </c>
      <c r="M1013" s="26" t="s">
        <v>19</v>
      </c>
      <c r="N1013" s="26" t="s">
        <v>18</v>
      </c>
      <c r="O1013" s="26" t="s">
        <v>19</v>
      </c>
      <c r="P1013" s="26">
        <v>103.095833</v>
      </c>
      <c r="Q1013" s="26">
        <v>5.2944440000000004</v>
      </c>
      <c r="R1013" s="26" t="s">
        <v>41</v>
      </c>
      <c r="S1013" s="26" t="s">
        <v>1870</v>
      </c>
    </row>
    <row r="1014" spans="1:19" ht="30" hidden="1" x14ac:dyDescent="0.25">
      <c r="A1014" s="29">
        <v>5232065</v>
      </c>
      <c r="B1014" s="25" t="s">
        <v>1960</v>
      </c>
      <c r="C1014" s="26" t="s">
        <v>12</v>
      </c>
      <c r="D1014" s="24" t="s">
        <v>1865</v>
      </c>
      <c r="E1014" s="26" t="s">
        <v>1929</v>
      </c>
      <c r="F1014" s="26"/>
      <c r="G1014" s="26" t="s">
        <v>1929</v>
      </c>
      <c r="H1014" s="26" t="s">
        <v>1048</v>
      </c>
      <c r="I1014" s="26"/>
      <c r="J1014" s="26" t="s">
        <v>18</v>
      </c>
      <c r="K1014" s="26" t="s">
        <v>18</v>
      </c>
      <c r="L1014" s="26" t="s">
        <v>19</v>
      </c>
      <c r="M1014" s="26" t="s">
        <v>19</v>
      </c>
      <c r="N1014" s="26" t="s">
        <v>18</v>
      </c>
      <c r="O1014" s="26" t="s">
        <v>19</v>
      </c>
      <c r="P1014" s="26">
        <v>103.20694399999999</v>
      </c>
      <c r="Q1014" s="26">
        <v>5.2083329999999997</v>
      </c>
      <c r="R1014" s="26" t="s">
        <v>472</v>
      </c>
      <c r="S1014" s="26" t="s">
        <v>1870</v>
      </c>
    </row>
    <row r="1015" spans="1:19" hidden="1" x14ac:dyDescent="0.25">
      <c r="A1015" s="28">
        <v>5302001</v>
      </c>
      <c r="B1015" s="15" t="s">
        <v>1796</v>
      </c>
      <c r="C1015" s="19" t="s">
        <v>12</v>
      </c>
      <c r="D1015" s="21" t="s">
        <v>1782</v>
      </c>
      <c r="E1015" s="19" t="s">
        <v>1786</v>
      </c>
      <c r="F1015" s="19" t="s">
        <v>1797</v>
      </c>
      <c r="G1015" s="19" t="s">
        <v>1797</v>
      </c>
      <c r="H1015" s="19" t="s">
        <v>1085</v>
      </c>
      <c r="I1015" s="19"/>
      <c r="J1015" s="19" t="s">
        <v>18</v>
      </c>
      <c r="K1015" s="19" t="s">
        <v>18</v>
      </c>
      <c r="L1015" s="19" t="s">
        <v>18</v>
      </c>
      <c r="M1015" s="19" t="s">
        <v>19</v>
      </c>
      <c r="N1015" s="19" t="s">
        <v>18</v>
      </c>
      <c r="O1015" s="19" t="s">
        <v>19</v>
      </c>
      <c r="P1015" s="19">
        <v>100.21250000000001</v>
      </c>
      <c r="Q1015" s="19">
        <v>5.391667</v>
      </c>
      <c r="R1015" s="19" t="s">
        <v>41</v>
      </c>
      <c r="S1015" s="19"/>
    </row>
    <row r="1016" spans="1:19" hidden="1" x14ac:dyDescent="0.25">
      <c r="A1016" s="28">
        <v>5302002</v>
      </c>
      <c r="B1016" s="15" t="s">
        <v>1798</v>
      </c>
      <c r="C1016" s="19" t="s">
        <v>12</v>
      </c>
      <c r="D1016" s="21" t="s">
        <v>1782</v>
      </c>
      <c r="E1016" s="19" t="s">
        <v>1786</v>
      </c>
      <c r="F1016" s="19" t="s">
        <v>1799</v>
      </c>
      <c r="G1016" s="19" t="s">
        <v>1800</v>
      </c>
      <c r="H1016" s="19" t="s">
        <v>468</v>
      </c>
      <c r="I1016" s="19"/>
      <c r="J1016" s="19" t="s">
        <v>18</v>
      </c>
      <c r="K1016" s="19" t="s">
        <v>18</v>
      </c>
      <c r="L1016" s="19" t="s">
        <v>18</v>
      </c>
      <c r="M1016" s="19" t="s">
        <v>19</v>
      </c>
      <c r="N1016" s="19" t="s">
        <v>18</v>
      </c>
      <c r="O1016" s="19" t="s">
        <v>19</v>
      </c>
      <c r="P1016" s="19">
        <v>100.2</v>
      </c>
      <c r="Q1016" s="19">
        <v>5.3541670000000003</v>
      </c>
      <c r="R1016" s="19" t="s">
        <v>41</v>
      </c>
      <c r="S1016" s="19"/>
    </row>
    <row r="1017" spans="1:19" hidden="1" x14ac:dyDescent="0.25">
      <c r="A1017" s="28">
        <v>5302003</v>
      </c>
      <c r="B1017" s="15" t="s">
        <v>1801</v>
      </c>
      <c r="C1017" s="19" t="s">
        <v>12</v>
      </c>
      <c r="D1017" s="21" t="s">
        <v>1782</v>
      </c>
      <c r="E1017" s="19" t="s">
        <v>1802</v>
      </c>
      <c r="F1017" s="19" t="s">
        <v>1803</v>
      </c>
      <c r="G1017" s="19" t="s">
        <v>1797</v>
      </c>
      <c r="H1017" s="19" t="s">
        <v>1804</v>
      </c>
      <c r="I1017" s="19"/>
      <c r="J1017" s="19" t="s">
        <v>18</v>
      </c>
      <c r="K1017" s="19" t="s">
        <v>18</v>
      </c>
      <c r="L1017" s="19" t="s">
        <v>19</v>
      </c>
      <c r="M1017" s="19" t="s">
        <v>18</v>
      </c>
      <c r="N1017" s="19" t="s">
        <v>18</v>
      </c>
      <c r="O1017" s="19" t="s">
        <v>19</v>
      </c>
      <c r="P1017" s="19">
        <v>100.265278</v>
      </c>
      <c r="Q1017" s="19">
        <v>5.3958329999999997</v>
      </c>
      <c r="R1017" s="19" t="s">
        <v>41</v>
      </c>
      <c r="S1017" s="19"/>
    </row>
    <row r="1018" spans="1:19" hidden="1" x14ac:dyDescent="0.25">
      <c r="A1018" s="28">
        <v>5302004</v>
      </c>
      <c r="B1018" s="15" t="s">
        <v>1805</v>
      </c>
      <c r="C1018" s="19" t="s">
        <v>12</v>
      </c>
      <c r="D1018" s="21" t="s">
        <v>1782</v>
      </c>
      <c r="E1018" s="19" t="s">
        <v>1806</v>
      </c>
      <c r="F1018" s="19" t="s">
        <v>1807</v>
      </c>
      <c r="G1018" s="19" t="s">
        <v>1797</v>
      </c>
      <c r="H1018" s="19"/>
      <c r="I1018" s="19"/>
      <c r="J1018" s="19" t="s">
        <v>19</v>
      </c>
      <c r="K1018" s="19" t="s">
        <v>18</v>
      </c>
      <c r="L1018" s="19" t="s">
        <v>19</v>
      </c>
      <c r="M1018" s="19" t="s">
        <v>18</v>
      </c>
      <c r="N1018" s="19" t="s">
        <v>19</v>
      </c>
      <c r="O1018" s="19" t="s">
        <v>19</v>
      </c>
      <c r="P1018" s="19">
        <v>100.2775</v>
      </c>
      <c r="Q1018" s="19">
        <v>5.380833</v>
      </c>
      <c r="R1018" s="19"/>
      <c r="S1018" s="19"/>
    </row>
    <row r="1019" spans="1:19" hidden="1" x14ac:dyDescent="0.25">
      <c r="A1019" s="28">
        <v>5303001</v>
      </c>
      <c r="B1019" s="15" t="s">
        <v>1808</v>
      </c>
      <c r="C1019" s="19" t="s">
        <v>12</v>
      </c>
      <c r="D1019" s="21" t="s">
        <v>1782</v>
      </c>
      <c r="E1019" s="19" t="s">
        <v>1802</v>
      </c>
      <c r="F1019" s="19"/>
      <c r="G1019" s="19" t="s">
        <v>1797</v>
      </c>
      <c r="H1019" s="19" t="s">
        <v>1804</v>
      </c>
      <c r="I1019" s="19" t="s">
        <v>1809</v>
      </c>
      <c r="J1019" s="19" t="s">
        <v>19</v>
      </c>
      <c r="K1019" s="19" t="s">
        <v>19</v>
      </c>
      <c r="L1019" s="19" t="s">
        <v>19</v>
      </c>
      <c r="M1019" s="19" t="s">
        <v>19</v>
      </c>
      <c r="N1019" s="19" t="s">
        <v>18</v>
      </c>
      <c r="O1019" s="19" t="s">
        <v>19</v>
      </c>
      <c r="P1019" s="19">
        <v>100.30416700000001</v>
      </c>
      <c r="Q1019" s="19">
        <v>5.391667</v>
      </c>
      <c r="R1019" s="19" t="s">
        <v>41</v>
      </c>
      <c r="S1019" s="19"/>
    </row>
    <row r="1020" spans="1:19" hidden="1" x14ac:dyDescent="0.25">
      <c r="A1020" s="28">
        <v>5303053</v>
      </c>
      <c r="B1020" s="15" t="s">
        <v>1810</v>
      </c>
      <c r="C1020" s="19" t="s">
        <v>12</v>
      </c>
      <c r="D1020" s="21" t="s">
        <v>1782</v>
      </c>
      <c r="E1020" s="19" t="s">
        <v>1811</v>
      </c>
      <c r="F1020" s="19" t="s">
        <v>474</v>
      </c>
      <c r="G1020" s="19" t="s">
        <v>474</v>
      </c>
      <c r="H1020" s="19" t="s">
        <v>969</v>
      </c>
      <c r="I1020" s="19"/>
      <c r="J1020" s="19" t="s">
        <v>18</v>
      </c>
      <c r="K1020" s="19" t="s">
        <v>18</v>
      </c>
      <c r="L1020" s="19" t="s">
        <v>18</v>
      </c>
      <c r="M1020" s="19" t="s">
        <v>19</v>
      </c>
      <c r="N1020" s="19" t="s">
        <v>18</v>
      </c>
      <c r="O1020" s="19" t="s">
        <v>19</v>
      </c>
      <c r="P1020" s="19">
        <v>100.391667</v>
      </c>
      <c r="Q1020" s="19">
        <v>5.3819439999999998</v>
      </c>
      <c r="R1020" s="19" t="s">
        <v>41</v>
      </c>
      <c r="S1020" s="19"/>
    </row>
    <row r="1021" spans="1:19" hidden="1" x14ac:dyDescent="0.25">
      <c r="A1021" s="28">
        <v>5304044</v>
      </c>
      <c r="B1021" s="15" t="s">
        <v>2638</v>
      </c>
      <c r="C1021" s="19" t="s">
        <v>12</v>
      </c>
      <c r="D1021" s="21" t="s">
        <v>1782</v>
      </c>
      <c r="E1021" s="19" t="s">
        <v>1812</v>
      </c>
      <c r="F1021" s="19"/>
      <c r="G1021" s="19" t="s">
        <v>1813</v>
      </c>
      <c r="H1021" s="19"/>
      <c r="I1021" s="19"/>
      <c r="J1021" s="19" t="s">
        <v>19</v>
      </c>
      <c r="K1021" s="19" t="s">
        <v>18</v>
      </c>
      <c r="L1021" s="19" t="s">
        <v>19</v>
      </c>
      <c r="M1021" s="19" t="s">
        <v>18</v>
      </c>
      <c r="N1021" s="19" t="s">
        <v>19</v>
      </c>
      <c r="O1021" s="19" t="s">
        <v>19</v>
      </c>
      <c r="P1021" s="19">
        <v>100.447778</v>
      </c>
      <c r="Q1021" s="19">
        <v>5.3333329999999997</v>
      </c>
      <c r="R1021" s="19"/>
      <c r="S1021" s="19"/>
    </row>
    <row r="1022" spans="1:19" hidden="1" x14ac:dyDescent="0.25">
      <c r="A1022" s="28">
        <v>5304045</v>
      </c>
      <c r="B1022" s="15" t="s">
        <v>1814</v>
      </c>
      <c r="C1022" s="19" t="s">
        <v>12</v>
      </c>
      <c r="D1022" s="21" t="s">
        <v>1782</v>
      </c>
      <c r="E1022" s="19" t="s">
        <v>1811</v>
      </c>
      <c r="F1022" s="19" t="s">
        <v>1815</v>
      </c>
      <c r="G1022" s="19" t="s">
        <v>1816</v>
      </c>
      <c r="H1022" s="19" t="s">
        <v>1641</v>
      </c>
      <c r="I1022" s="19"/>
      <c r="J1022" s="19" t="s">
        <v>18</v>
      </c>
      <c r="K1022" s="19" t="s">
        <v>18</v>
      </c>
      <c r="L1022" s="19" t="s">
        <v>18</v>
      </c>
      <c r="M1022" s="19" t="s">
        <v>19</v>
      </c>
      <c r="N1022" s="19" t="s">
        <v>18</v>
      </c>
      <c r="O1022" s="19" t="s">
        <v>19</v>
      </c>
      <c r="P1022" s="19">
        <v>100.475556</v>
      </c>
      <c r="Q1022" s="19">
        <v>5.3755559999999996</v>
      </c>
      <c r="R1022" s="19" t="s">
        <v>164</v>
      </c>
      <c r="S1022" s="19"/>
    </row>
    <row r="1023" spans="1:19" hidden="1" x14ac:dyDescent="0.25">
      <c r="A1023" s="28">
        <v>5304046</v>
      </c>
      <c r="B1023" s="15" t="s">
        <v>1817</v>
      </c>
      <c r="C1023" s="19" t="s">
        <v>12</v>
      </c>
      <c r="D1023" s="21" t="s">
        <v>1782</v>
      </c>
      <c r="E1023" s="19" t="s">
        <v>1811</v>
      </c>
      <c r="F1023" s="19" t="s">
        <v>1818</v>
      </c>
      <c r="G1023" s="19" t="s">
        <v>1816</v>
      </c>
      <c r="H1023" s="19" t="s">
        <v>1819</v>
      </c>
      <c r="I1023" s="19"/>
      <c r="J1023" s="19" t="s">
        <v>18</v>
      </c>
      <c r="K1023" s="19" t="s">
        <v>18</v>
      </c>
      <c r="L1023" s="19" t="s">
        <v>18</v>
      </c>
      <c r="M1023" s="19" t="s">
        <v>19</v>
      </c>
      <c r="N1023" s="19" t="s">
        <v>18</v>
      </c>
      <c r="O1023" s="19" t="s">
        <v>19</v>
      </c>
      <c r="P1023" s="19">
        <v>100.459722</v>
      </c>
      <c r="Q1023" s="19">
        <v>5.3624999999999998</v>
      </c>
      <c r="R1023" s="19" t="s">
        <v>41</v>
      </c>
      <c r="S1023" s="19"/>
    </row>
    <row r="1024" spans="1:19" hidden="1" x14ac:dyDescent="0.25">
      <c r="A1024" s="28">
        <v>5304047</v>
      </c>
      <c r="B1024" s="15" t="s">
        <v>1820</v>
      </c>
      <c r="C1024" s="19" t="s">
        <v>12</v>
      </c>
      <c r="D1024" s="21" t="s">
        <v>1782</v>
      </c>
      <c r="E1024" s="19" t="s">
        <v>1811</v>
      </c>
      <c r="F1024" s="19" t="s">
        <v>1821</v>
      </c>
      <c r="G1024" s="19" t="s">
        <v>1816</v>
      </c>
      <c r="H1024" s="19" t="s">
        <v>1641</v>
      </c>
      <c r="I1024" s="19"/>
      <c r="J1024" s="19" t="s">
        <v>18</v>
      </c>
      <c r="K1024" s="19" t="s">
        <v>18</v>
      </c>
      <c r="L1024" s="19" t="s">
        <v>18</v>
      </c>
      <c r="M1024" s="19" t="s">
        <v>19</v>
      </c>
      <c r="N1024" s="19" t="s">
        <v>18</v>
      </c>
      <c r="O1024" s="19" t="s">
        <v>19</v>
      </c>
      <c r="P1024" s="19">
        <v>100.47416699999999</v>
      </c>
      <c r="Q1024" s="19">
        <v>5.3497219999999999</v>
      </c>
      <c r="R1024" s="19" t="s">
        <v>164</v>
      </c>
      <c r="S1024" s="19"/>
    </row>
    <row r="1025" spans="1:19" hidden="1" x14ac:dyDescent="0.25">
      <c r="A1025" s="29">
        <v>5305001</v>
      </c>
      <c r="B1025" s="25" t="s">
        <v>464</v>
      </c>
      <c r="C1025" s="26" t="s">
        <v>12</v>
      </c>
      <c r="D1025" s="24" t="s">
        <v>451</v>
      </c>
      <c r="E1025" s="26" t="s">
        <v>456</v>
      </c>
      <c r="F1025" s="26"/>
      <c r="G1025" s="26" t="s">
        <v>465</v>
      </c>
      <c r="H1025" s="26" t="s">
        <v>68</v>
      </c>
      <c r="I1025" s="26"/>
      <c r="J1025" s="26" t="s">
        <v>18</v>
      </c>
      <c r="K1025" s="26" t="s">
        <v>18</v>
      </c>
      <c r="L1025" s="26" t="s">
        <v>18</v>
      </c>
      <c r="M1025" s="26" t="s">
        <v>19</v>
      </c>
      <c r="N1025" s="26" t="s">
        <v>19</v>
      </c>
      <c r="O1025" s="26" t="s">
        <v>19</v>
      </c>
      <c r="P1025" s="26">
        <v>100.55972199999999</v>
      </c>
      <c r="Q1025" s="26">
        <v>5.384722</v>
      </c>
      <c r="R1025" s="26"/>
      <c r="S1025" s="26" t="s">
        <v>41</v>
      </c>
    </row>
    <row r="1026" spans="1:19" hidden="1" x14ac:dyDescent="0.25">
      <c r="A1026" s="29">
        <v>5305091</v>
      </c>
      <c r="B1026" s="25" t="s">
        <v>466</v>
      </c>
      <c r="C1026" s="26" t="s">
        <v>12</v>
      </c>
      <c r="D1026" s="24" t="s">
        <v>451</v>
      </c>
      <c r="E1026" s="26" t="s">
        <v>456</v>
      </c>
      <c r="F1026" s="26"/>
      <c r="G1026" s="26" t="s">
        <v>465</v>
      </c>
      <c r="H1026" s="26" t="s">
        <v>457</v>
      </c>
      <c r="I1026" s="26"/>
      <c r="J1026" s="26" t="s">
        <v>18</v>
      </c>
      <c r="K1026" s="26" t="s">
        <v>18</v>
      </c>
      <c r="L1026" s="26" t="s">
        <v>18</v>
      </c>
      <c r="M1026" s="26" t="s">
        <v>19</v>
      </c>
      <c r="N1026" s="26" t="s">
        <v>19</v>
      </c>
      <c r="O1026" s="26" t="s">
        <v>19</v>
      </c>
      <c r="P1026" s="26">
        <v>100.558333</v>
      </c>
      <c r="Q1026" s="26">
        <v>5.3694439999999997</v>
      </c>
      <c r="R1026" s="26"/>
      <c r="S1026" s="26" t="s">
        <v>279</v>
      </c>
    </row>
    <row r="1027" spans="1:19" hidden="1" x14ac:dyDescent="0.25">
      <c r="A1027" s="29">
        <v>5305092</v>
      </c>
      <c r="B1027" s="25" t="s">
        <v>467</v>
      </c>
      <c r="C1027" s="26" t="s">
        <v>12</v>
      </c>
      <c r="D1027" s="24" t="s">
        <v>451</v>
      </c>
      <c r="E1027" s="26" t="s">
        <v>452</v>
      </c>
      <c r="F1027" s="26"/>
      <c r="G1027" s="26" t="s">
        <v>465</v>
      </c>
      <c r="H1027" s="26" t="s">
        <v>468</v>
      </c>
      <c r="I1027" s="26" t="s">
        <v>469</v>
      </c>
      <c r="J1027" s="26" t="s">
        <v>19</v>
      </c>
      <c r="K1027" s="26" t="s">
        <v>19</v>
      </c>
      <c r="L1027" s="26" t="s">
        <v>18</v>
      </c>
      <c r="M1027" s="26" t="s">
        <v>19</v>
      </c>
      <c r="N1027" s="26" t="s">
        <v>19</v>
      </c>
      <c r="O1027" s="26" t="s">
        <v>19</v>
      </c>
      <c r="P1027" s="26">
        <v>100.555556</v>
      </c>
      <c r="Q1027" s="26">
        <v>5.3375000000000004</v>
      </c>
      <c r="R1027" s="26"/>
      <c r="S1027" s="26" t="s">
        <v>164</v>
      </c>
    </row>
    <row r="1028" spans="1:19" hidden="1" x14ac:dyDescent="0.25">
      <c r="A1028" s="29">
        <v>5307101</v>
      </c>
      <c r="B1028" s="25" t="s">
        <v>470</v>
      </c>
      <c r="C1028" s="26" t="s">
        <v>12</v>
      </c>
      <c r="D1028" s="24" t="s">
        <v>451</v>
      </c>
      <c r="E1028" s="26" t="s">
        <v>456</v>
      </c>
      <c r="F1028" s="26"/>
      <c r="G1028" s="26" t="s">
        <v>453</v>
      </c>
      <c r="H1028" s="26" t="s">
        <v>471</v>
      </c>
      <c r="I1028" s="26"/>
      <c r="J1028" s="26" t="s">
        <v>18</v>
      </c>
      <c r="K1028" s="26" t="s">
        <v>18</v>
      </c>
      <c r="L1028" s="26" t="s">
        <v>18</v>
      </c>
      <c r="M1028" s="26" t="s">
        <v>18</v>
      </c>
      <c r="N1028" s="26" t="s">
        <v>19</v>
      </c>
      <c r="O1028" s="26" t="s">
        <v>19</v>
      </c>
      <c r="P1028" s="26">
        <v>100.733333</v>
      </c>
      <c r="Q1028" s="26">
        <v>5.3250000000000002</v>
      </c>
      <c r="R1028" s="26"/>
      <c r="S1028" s="26" t="s">
        <v>472</v>
      </c>
    </row>
    <row r="1029" spans="1:19" hidden="1" x14ac:dyDescent="0.25">
      <c r="A1029" s="28">
        <v>5320001</v>
      </c>
      <c r="B1029" s="15" t="s">
        <v>1013</v>
      </c>
      <c r="C1029" s="19" t="s">
        <v>12</v>
      </c>
      <c r="D1029" s="21" t="s">
        <v>976</v>
      </c>
      <c r="E1029" s="19" t="s">
        <v>996</v>
      </c>
      <c r="F1029" s="19" t="s">
        <v>993</v>
      </c>
      <c r="G1029" s="19" t="s">
        <v>976</v>
      </c>
      <c r="H1029" s="19" t="s">
        <v>1014</v>
      </c>
      <c r="I1029" s="19" t="s">
        <v>1015</v>
      </c>
      <c r="J1029" s="19" t="s">
        <v>19</v>
      </c>
      <c r="K1029" s="19" t="s">
        <v>19</v>
      </c>
      <c r="L1029" s="19" t="s">
        <v>18</v>
      </c>
      <c r="M1029" s="19" t="s">
        <v>19</v>
      </c>
      <c r="N1029" s="19" t="s">
        <v>19</v>
      </c>
      <c r="O1029" s="19"/>
      <c r="P1029" s="19">
        <v>102.009722</v>
      </c>
      <c r="Q1029" s="19">
        <v>5.394444</v>
      </c>
      <c r="R1029" s="19"/>
      <c r="S1029" s="19" t="s">
        <v>544</v>
      </c>
    </row>
    <row r="1030" spans="1:19" hidden="1" x14ac:dyDescent="0.25">
      <c r="A1030" s="28">
        <v>5320002</v>
      </c>
      <c r="B1030" s="15" t="s">
        <v>1016</v>
      </c>
      <c r="C1030" s="19" t="s">
        <v>12</v>
      </c>
      <c r="D1030" s="21" t="s">
        <v>976</v>
      </c>
      <c r="E1030" s="19" t="s">
        <v>996</v>
      </c>
      <c r="F1030" s="19" t="s">
        <v>993</v>
      </c>
      <c r="G1030" s="19" t="s">
        <v>976</v>
      </c>
      <c r="H1030" s="19" t="s">
        <v>1017</v>
      </c>
      <c r="I1030" s="19" t="s">
        <v>1018</v>
      </c>
      <c r="J1030" s="19" t="s">
        <v>19</v>
      </c>
      <c r="K1030" s="19" t="s">
        <v>19</v>
      </c>
      <c r="L1030" s="19" t="s">
        <v>18</v>
      </c>
      <c r="M1030" s="19" t="s">
        <v>19</v>
      </c>
      <c r="N1030" s="19" t="s">
        <v>19</v>
      </c>
      <c r="O1030" s="19"/>
      <c r="P1030" s="19">
        <v>102.083333</v>
      </c>
      <c r="Q1030" s="19">
        <v>5.3722219999999998</v>
      </c>
      <c r="R1030" s="19"/>
      <c r="S1030" s="19" t="s">
        <v>41</v>
      </c>
    </row>
    <row r="1031" spans="1:19" hidden="1" x14ac:dyDescent="0.25">
      <c r="A1031" s="28">
        <v>5320037</v>
      </c>
      <c r="B1031" s="15" t="s">
        <v>1019</v>
      </c>
      <c r="C1031" s="19" t="s">
        <v>12</v>
      </c>
      <c r="D1031" s="21" t="s">
        <v>976</v>
      </c>
      <c r="E1031" s="19" t="s">
        <v>1020</v>
      </c>
      <c r="F1031" s="19" t="s">
        <v>1021</v>
      </c>
      <c r="G1031" s="19" t="s">
        <v>976</v>
      </c>
      <c r="H1031" s="19" t="s">
        <v>1022</v>
      </c>
      <c r="I1031" s="19" t="s">
        <v>152</v>
      </c>
      <c r="J1031" s="19" t="s">
        <v>19</v>
      </c>
      <c r="K1031" s="19" t="s">
        <v>19</v>
      </c>
      <c r="L1031" s="19" t="s">
        <v>18</v>
      </c>
      <c r="M1031" s="19" t="s">
        <v>19</v>
      </c>
      <c r="N1031" s="19" t="s">
        <v>19</v>
      </c>
      <c r="O1031" s="19"/>
      <c r="P1031" s="19">
        <v>102.011111</v>
      </c>
      <c r="Q1031" s="19">
        <v>5.3888889999999998</v>
      </c>
      <c r="R1031" s="19"/>
      <c r="S1031" s="19" t="s">
        <v>20</v>
      </c>
    </row>
    <row r="1032" spans="1:19" hidden="1" x14ac:dyDescent="0.25">
      <c r="A1032" s="28">
        <v>5320038</v>
      </c>
      <c r="B1032" s="15" t="s">
        <v>1023</v>
      </c>
      <c r="C1032" s="19" t="s">
        <v>12</v>
      </c>
      <c r="D1032" s="21" t="s">
        <v>976</v>
      </c>
      <c r="E1032" s="19" t="s">
        <v>996</v>
      </c>
      <c r="F1032" s="19" t="s">
        <v>993</v>
      </c>
      <c r="G1032" s="19" t="s">
        <v>976</v>
      </c>
      <c r="H1032" s="19" t="s">
        <v>971</v>
      </c>
      <c r="I1032" s="19"/>
      <c r="J1032" s="19" t="s">
        <v>18</v>
      </c>
      <c r="K1032" s="19" t="s">
        <v>18</v>
      </c>
      <c r="L1032" s="19" t="s">
        <v>19</v>
      </c>
      <c r="M1032" s="19" t="s">
        <v>18</v>
      </c>
      <c r="N1032" s="19" t="s">
        <v>18</v>
      </c>
      <c r="O1032" s="19"/>
      <c r="P1032" s="19">
        <v>102.015278</v>
      </c>
      <c r="Q1032" s="19">
        <v>5.3777780000000002</v>
      </c>
      <c r="R1032" s="19"/>
      <c r="S1032" s="19" t="s">
        <v>41</v>
      </c>
    </row>
    <row r="1033" spans="1:19" hidden="1" x14ac:dyDescent="0.25">
      <c r="A1033" s="28">
        <v>5320039</v>
      </c>
      <c r="B1033" s="15" t="s">
        <v>1024</v>
      </c>
      <c r="C1033" s="19" t="s">
        <v>12</v>
      </c>
      <c r="D1033" s="21" t="s">
        <v>976</v>
      </c>
      <c r="E1033" s="19" t="s">
        <v>996</v>
      </c>
      <c r="F1033" s="19" t="s">
        <v>993</v>
      </c>
      <c r="G1033" s="19" t="s">
        <v>976</v>
      </c>
      <c r="H1033" s="19" t="s">
        <v>336</v>
      </c>
      <c r="I1033" s="19"/>
      <c r="J1033" s="19" t="s">
        <v>18</v>
      </c>
      <c r="K1033" s="19" t="s">
        <v>18</v>
      </c>
      <c r="L1033" s="19" t="s">
        <v>19</v>
      </c>
      <c r="M1033" s="19" t="s">
        <v>19</v>
      </c>
      <c r="N1033" s="19" t="s">
        <v>18</v>
      </c>
      <c r="O1033" s="19"/>
      <c r="P1033" s="19">
        <v>102.08194399999999</v>
      </c>
      <c r="Q1033" s="19">
        <v>5.375</v>
      </c>
      <c r="R1033" s="19"/>
      <c r="S1033" s="19" t="s">
        <v>20</v>
      </c>
    </row>
    <row r="1034" spans="1:19" hidden="1" x14ac:dyDescent="0.25">
      <c r="A1034" s="28">
        <v>5322044</v>
      </c>
      <c r="B1034" s="15" t="s">
        <v>1025</v>
      </c>
      <c r="C1034" s="19" t="s">
        <v>12</v>
      </c>
      <c r="D1034" s="21" t="s">
        <v>976</v>
      </c>
      <c r="E1034" s="19" t="s">
        <v>996</v>
      </c>
      <c r="F1034" s="19" t="s">
        <v>997</v>
      </c>
      <c r="G1034" s="19" t="s">
        <v>976</v>
      </c>
      <c r="H1034" s="19" t="s">
        <v>971</v>
      </c>
      <c r="I1034" s="19"/>
      <c r="J1034" s="19" t="s">
        <v>18</v>
      </c>
      <c r="K1034" s="19" t="s">
        <v>18</v>
      </c>
      <c r="L1034" s="19" t="s">
        <v>19</v>
      </c>
      <c r="M1034" s="19" t="s">
        <v>18</v>
      </c>
      <c r="N1034" s="19" t="s">
        <v>18</v>
      </c>
      <c r="O1034" s="19"/>
      <c r="P1034" s="19">
        <v>102.27500000000001</v>
      </c>
      <c r="Q1034" s="19">
        <v>5.3083330000000002</v>
      </c>
      <c r="R1034" s="19"/>
      <c r="S1034" s="19" t="s">
        <v>41</v>
      </c>
    </row>
    <row r="1035" spans="1:19" hidden="1" x14ac:dyDescent="0.25">
      <c r="A1035" s="28">
        <v>5322045</v>
      </c>
      <c r="B1035" s="15" t="s">
        <v>1026</v>
      </c>
      <c r="C1035" s="19" t="s">
        <v>12</v>
      </c>
      <c r="D1035" s="21" t="s">
        <v>976</v>
      </c>
      <c r="E1035" s="19" t="s">
        <v>996</v>
      </c>
      <c r="F1035" s="19" t="s">
        <v>997</v>
      </c>
      <c r="G1035" s="19" t="s">
        <v>976</v>
      </c>
      <c r="H1035" s="19" t="s">
        <v>935</v>
      </c>
      <c r="I1035" s="19" t="s">
        <v>434</v>
      </c>
      <c r="J1035" s="19" t="s">
        <v>19</v>
      </c>
      <c r="K1035" s="19" t="s">
        <v>19</v>
      </c>
      <c r="L1035" s="19" t="s">
        <v>18</v>
      </c>
      <c r="M1035" s="19" t="s">
        <v>19</v>
      </c>
      <c r="N1035" s="19" t="s">
        <v>19</v>
      </c>
      <c r="O1035" s="19"/>
      <c r="P1035" s="19">
        <v>102.233333</v>
      </c>
      <c r="Q1035" s="19">
        <v>5.3972220000000002</v>
      </c>
      <c r="R1035" s="19"/>
      <c r="S1035" s="19" t="s">
        <v>41</v>
      </c>
    </row>
    <row r="1036" spans="1:19" hidden="1" x14ac:dyDescent="0.25">
      <c r="A1036" s="29">
        <v>5328001</v>
      </c>
      <c r="B1036" s="25" t="s">
        <v>1961</v>
      </c>
      <c r="C1036" s="26" t="s">
        <v>12</v>
      </c>
      <c r="D1036" s="24" t="s">
        <v>1865</v>
      </c>
      <c r="E1036" s="26" t="s">
        <v>1898</v>
      </c>
      <c r="F1036" s="26" t="s">
        <v>1962</v>
      </c>
      <c r="G1036" s="26" t="s">
        <v>1920</v>
      </c>
      <c r="H1036" s="26" t="s">
        <v>362</v>
      </c>
      <c r="I1036" s="26" t="s">
        <v>533</v>
      </c>
      <c r="J1036" s="26" t="s">
        <v>19</v>
      </c>
      <c r="K1036" s="26" t="s">
        <v>19</v>
      </c>
      <c r="L1036" s="26" t="s">
        <v>18</v>
      </c>
      <c r="M1036" s="26" t="s">
        <v>19</v>
      </c>
      <c r="N1036" s="26" t="s">
        <v>19</v>
      </c>
      <c r="O1036" s="26" t="s">
        <v>19</v>
      </c>
      <c r="P1036" s="26">
        <v>102.886111</v>
      </c>
      <c r="Q1036" s="26">
        <v>5.355556</v>
      </c>
      <c r="R1036" s="26" t="s">
        <v>472</v>
      </c>
      <c r="S1036" s="26" t="s">
        <v>1870</v>
      </c>
    </row>
    <row r="1037" spans="1:19" hidden="1" x14ac:dyDescent="0.25">
      <c r="A1037" s="29">
        <v>5328002</v>
      </c>
      <c r="B1037" s="25" t="s">
        <v>1963</v>
      </c>
      <c r="C1037" s="26" t="s">
        <v>12</v>
      </c>
      <c r="D1037" s="24" t="s">
        <v>1865</v>
      </c>
      <c r="E1037" s="26" t="s">
        <v>1898</v>
      </c>
      <c r="F1037" s="26"/>
      <c r="G1037" s="26" t="s">
        <v>1865</v>
      </c>
      <c r="H1037" s="26" t="s">
        <v>1964</v>
      </c>
      <c r="I1037" s="26"/>
      <c r="J1037" s="26" t="s">
        <v>18</v>
      </c>
      <c r="K1037" s="26" t="s">
        <v>18</v>
      </c>
      <c r="L1037" s="26" t="s">
        <v>19</v>
      </c>
      <c r="M1037" s="26" t="s">
        <v>19</v>
      </c>
      <c r="N1037" s="26" t="s">
        <v>18</v>
      </c>
      <c r="O1037" s="26" t="s">
        <v>19</v>
      </c>
      <c r="P1037" s="26">
        <v>102.823611</v>
      </c>
      <c r="Q1037" s="26">
        <v>5.3902780000000003</v>
      </c>
      <c r="R1037" s="26" t="s">
        <v>41</v>
      </c>
      <c r="S1037" s="26" t="s">
        <v>1870</v>
      </c>
    </row>
    <row r="1038" spans="1:19" hidden="1" x14ac:dyDescent="0.25">
      <c r="A1038" s="29">
        <v>5328043</v>
      </c>
      <c r="B1038" s="25" t="s">
        <v>1965</v>
      </c>
      <c r="C1038" s="26" t="s">
        <v>12</v>
      </c>
      <c r="D1038" s="24" t="s">
        <v>1865</v>
      </c>
      <c r="E1038" s="26" t="s">
        <v>1898</v>
      </c>
      <c r="F1038" s="26"/>
      <c r="G1038" s="26" t="s">
        <v>1865</v>
      </c>
      <c r="H1038" s="26" t="s">
        <v>1644</v>
      </c>
      <c r="I1038" s="26"/>
      <c r="J1038" s="26" t="s">
        <v>18</v>
      </c>
      <c r="K1038" s="26" t="s">
        <v>18</v>
      </c>
      <c r="L1038" s="26" t="s">
        <v>19</v>
      </c>
      <c r="M1038" s="26" t="s">
        <v>19</v>
      </c>
      <c r="N1038" s="26" t="s">
        <v>18</v>
      </c>
      <c r="O1038" s="26" t="s">
        <v>19</v>
      </c>
      <c r="P1038" s="26">
        <v>102.83888899999999</v>
      </c>
      <c r="Q1038" s="26">
        <v>5.3166669999999998</v>
      </c>
      <c r="R1038" s="26" t="s">
        <v>41</v>
      </c>
      <c r="S1038" s="26" t="s">
        <v>1870</v>
      </c>
    </row>
    <row r="1039" spans="1:19" hidden="1" x14ac:dyDescent="0.25">
      <c r="A1039" s="29">
        <v>5328044</v>
      </c>
      <c r="B1039" s="25" t="s">
        <v>1966</v>
      </c>
      <c r="C1039" s="26" t="s">
        <v>12</v>
      </c>
      <c r="D1039" s="24" t="s">
        <v>1865</v>
      </c>
      <c r="E1039" s="26" t="s">
        <v>1898</v>
      </c>
      <c r="F1039" s="26"/>
      <c r="G1039" s="26" t="s">
        <v>1865</v>
      </c>
      <c r="H1039" s="26" t="s">
        <v>318</v>
      </c>
      <c r="I1039" s="26"/>
      <c r="J1039" s="26" t="s">
        <v>18</v>
      </c>
      <c r="K1039" s="26" t="s">
        <v>18</v>
      </c>
      <c r="L1039" s="26" t="s">
        <v>19</v>
      </c>
      <c r="M1039" s="26" t="s">
        <v>19</v>
      </c>
      <c r="N1039" s="26" t="s">
        <v>18</v>
      </c>
      <c r="O1039" s="26" t="s">
        <v>19</v>
      </c>
      <c r="P1039" s="26">
        <v>102.886111</v>
      </c>
      <c r="Q1039" s="26">
        <v>5.355556</v>
      </c>
      <c r="R1039" s="26" t="s">
        <v>41</v>
      </c>
      <c r="S1039" s="26" t="s">
        <v>1870</v>
      </c>
    </row>
    <row r="1040" spans="1:19" hidden="1" x14ac:dyDescent="0.25">
      <c r="A1040" s="29">
        <v>5330046</v>
      </c>
      <c r="B1040" s="25" t="s">
        <v>1967</v>
      </c>
      <c r="C1040" s="26" t="s">
        <v>12</v>
      </c>
      <c r="D1040" s="24" t="s">
        <v>1865</v>
      </c>
      <c r="E1040" s="26" t="s">
        <v>1958</v>
      </c>
      <c r="F1040" s="26"/>
      <c r="G1040" s="26" t="s">
        <v>1865</v>
      </c>
      <c r="H1040" s="26" t="s">
        <v>1048</v>
      </c>
      <c r="I1040" s="26"/>
      <c r="J1040" s="26" t="s">
        <v>18</v>
      </c>
      <c r="K1040" s="26" t="s">
        <v>18</v>
      </c>
      <c r="L1040" s="26" t="s">
        <v>19</v>
      </c>
      <c r="M1040" s="26" t="s">
        <v>19</v>
      </c>
      <c r="N1040" s="26" t="s">
        <v>18</v>
      </c>
      <c r="O1040" s="26" t="s">
        <v>19</v>
      </c>
      <c r="P1040" s="26">
        <v>103.01388900000001</v>
      </c>
      <c r="Q1040" s="26">
        <v>5.35</v>
      </c>
      <c r="R1040" s="26" t="s">
        <v>472</v>
      </c>
      <c r="S1040" s="26" t="s">
        <v>1870</v>
      </c>
    </row>
    <row r="1041" spans="1:19" hidden="1" x14ac:dyDescent="0.25">
      <c r="A1041" s="29">
        <v>5331047</v>
      </c>
      <c r="B1041" s="25" t="s">
        <v>1968</v>
      </c>
      <c r="C1041" s="26" t="s">
        <v>12</v>
      </c>
      <c r="D1041" s="24" t="s">
        <v>1865</v>
      </c>
      <c r="E1041" s="26" t="s">
        <v>1969</v>
      </c>
      <c r="F1041" s="26" t="s">
        <v>1937</v>
      </c>
      <c r="G1041" s="26" t="s">
        <v>1865</v>
      </c>
      <c r="H1041" s="26" t="s">
        <v>362</v>
      </c>
      <c r="I1041" s="26" t="s">
        <v>1608</v>
      </c>
      <c r="J1041" s="26" t="s">
        <v>19</v>
      </c>
      <c r="K1041" s="26" t="s">
        <v>19</v>
      </c>
      <c r="L1041" s="26" t="s">
        <v>18</v>
      </c>
      <c r="M1041" s="26" t="s">
        <v>19</v>
      </c>
      <c r="N1041" s="26" t="s">
        <v>19</v>
      </c>
      <c r="O1041" s="26" t="s">
        <v>19</v>
      </c>
      <c r="P1041" s="26">
        <v>103.136111</v>
      </c>
      <c r="Q1041" s="26">
        <v>5.3180560000000003</v>
      </c>
      <c r="R1041" s="26" t="s">
        <v>221</v>
      </c>
      <c r="S1041" s="26" t="s">
        <v>1870</v>
      </c>
    </row>
    <row r="1042" spans="1:19" hidden="1" x14ac:dyDescent="0.25">
      <c r="A1042" s="29">
        <v>5331048</v>
      </c>
      <c r="B1042" s="25" t="s">
        <v>1970</v>
      </c>
      <c r="C1042" s="26" t="s">
        <v>12</v>
      </c>
      <c r="D1042" s="24" t="s">
        <v>1865</v>
      </c>
      <c r="E1042" s="26" t="s">
        <v>1958</v>
      </c>
      <c r="F1042" s="26" t="s">
        <v>1937</v>
      </c>
      <c r="G1042" s="26" t="s">
        <v>1865</v>
      </c>
      <c r="H1042" s="26" t="s">
        <v>22</v>
      </c>
      <c r="I1042" s="26"/>
      <c r="J1042" s="26" t="s">
        <v>18</v>
      </c>
      <c r="K1042" s="26" t="s">
        <v>18</v>
      </c>
      <c r="L1042" s="26" t="s">
        <v>19</v>
      </c>
      <c r="M1042" s="26" t="s">
        <v>18</v>
      </c>
      <c r="N1042" s="26" t="s">
        <v>18</v>
      </c>
      <c r="O1042" s="26" t="s">
        <v>19</v>
      </c>
      <c r="P1042" s="26">
        <v>103.13333299999999</v>
      </c>
      <c r="Q1042" s="26">
        <v>5.3180560000000003</v>
      </c>
      <c r="R1042" s="26" t="s">
        <v>41</v>
      </c>
      <c r="S1042" s="26" t="s">
        <v>1870</v>
      </c>
    </row>
    <row r="1043" spans="1:19" hidden="1" x14ac:dyDescent="0.25">
      <c r="A1043" s="28">
        <v>5402001</v>
      </c>
      <c r="B1043" s="15" t="s">
        <v>1822</v>
      </c>
      <c r="C1043" s="19" t="s">
        <v>12</v>
      </c>
      <c r="D1043" s="21" t="s">
        <v>1782</v>
      </c>
      <c r="E1043" s="19" t="s">
        <v>1802</v>
      </c>
      <c r="F1043" s="19" t="s">
        <v>1823</v>
      </c>
      <c r="G1043" s="19" t="s">
        <v>1797</v>
      </c>
      <c r="H1043" s="19" t="s">
        <v>1804</v>
      </c>
      <c r="I1043" s="19"/>
      <c r="J1043" s="19" t="s">
        <v>18</v>
      </c>
      <c r="K1043" s="19" t="s">
        <v>18</v>
      </c>
      <c r="L1043" s="19" t="s">
        <v>19</v>
      </c>
      <c r="M1043" s="19" t="s">
        <v>18</v>
      </c>
      <c r="N1043" s="19" t="s">
        <v>18</v>
      </c>
      <c r="O1043" s="19" t="s">
        <v>19</v>
      </c>
      <c r="P1043" s="19">
        <v>100.270833</v>
      </c>
      <c r="Q1043" s="19">
        <v>5.4236110000000002</v>
      </c>
      <c r="R1043" s="19" t="s">
        <v>41</v>
      </c>
      <c r="S1043" s="19"/>
    </row>
    <row r="1044" spans="1:19" hidden="1" x14ac:dyDescent="0.25">
      <c r="A1044" s="28">
        <v>5402002</v>
      </c>
      <c r="B1044" s="15" t="s">
        <v>1824</v>
      </c>
      <c r="C1044" s="19" t="s">
        <v>12</v>
      </c>
      <c r="D1044" s="21" t="s">
        <v>1782</v>
      </c>
      <c r="E1044" s="19" t="s">
        <v>1802</v>
      </c>
      <c r="F1044" s="19" t="s">
        <v>1823</v>
      </c>
      <c r="G1044" s="19" t="s">
        <v>1797</v>
      </c>
      <c r="H1044" s="19" t="s">
        <v>1804</v>
      </c>
      <c r="I1044" s="19"/>
      <c r="J1044" s="19" t="s">
        <v>18</v>
      </c>
      <c r="K1044" s="19" t="s">
        <v>18</v>
      </c>
      <c r="L1044" s="19" t="s">
        <v>19</v>
      </c>
      <c r="M1044" s="19" t="s">
        <v>18</v>
      </c>
      <c r="N1044" s="19" t="s">
        <v>18</v>
      </c>
      <c r="O1044" s="19" t="s">
        <v>19</v>
      </c>
      <c r="P1044" s="19">
        <v>100.28611100000001</v>
      </c>
      <c r="Q1044" s="19">
        <v>5.4402780000000002</v>
      </c>
      <c r="R1044" s="19" t="s">
        <v>41</v>
      </c>
      <c r="S1044" s="19"/>
    </row>
    <row r="1045" spans="1:19" hidden="1" x14ac:dyDescent="0.25">
      <c r="A1045" s="28">
        <v>5402011</v>
      </c>
      <c r="B1045" s="15" t="s">
        <v>1825</v>
      </c>
      <c r="C1045" s="19" t="s">
        <v>12</v>
      </c>
      <c r="D1045" s="21" t="s">
        <v>1782</v>
      </c>
      <c r="E1045" s="19" t="s">
        <v>1806</v>
      </c>
      <c r="F1045" s="19"/>
      <c r="G1045" s="19" t="s">
        <v>1797</v>
      </c>
      <c r="H1045" s="19" t="s">
        <v>529</v>
      </c>
      <c r="I1045" s="19" t="s">
        <v>1826</v>
      </c>
      <c r="J1045" s="19" t="s">
        <v>19</v>
      </c>
      <c r="K1045" s="19" t="s">
        <v>19</v>
      </c>
      <c r="L1045" s="19" t="s">
        <v>18</v>
      </c>
      <c r="M1045" s="19" t="s">
        <v>19</v>
      </c>
      <c r="N1045" s="19" t="s">
        <v>19</v>
      </c>
      <c r="O1045" s="19" t="s">
        <v>19</v>
      </c>
      <c r="P1045" s="19">
        <v>100.283333</v>
      </c>
      <c r="Q1045" s="19">
        <v>5.4</v>
      </c>
      <c r="R1045" s="19" t="s">
        <v>544</v>
      </c>
      <c r="S1045" s="19"/>
    </row>
    <row r="1046" spans="1:19" hidden="1" x14ac:dyDescent="0.25">
      <c r="A1046" s="28">
        <v>5403001</v>
      </c>
      <c r="B1046" s="15" t="s">
        <v>1827</v>
      </c>
      <c r="C1046" s="19" t="s">
        <v>12</v>
      </c>
      <c r="D1046" s="21" t="s">
        <v>1782</v>
      </c>
      <c r="E1046" s="19" t="s">
        <v>1802</v>
      </c>
      <c r="F1046" s="19" t="s">
        <v>1803</v>
      </c>
      <c r="G1046" s="19" t="s">
        <v>1797</v>
      </c>
      <c r="H1046" s="19" t="s">
        <v>1828</v>
      </c>
      <c r="I1046" s="19"/>
      <c r="J1046" s="19" t="s">
        <v>18</v>
      </c>
      <c r="K1046" s="19" t="s">
        <v>18</v>
      </c>
      <c r="L1046" s="19" t="s">
        <v>19</v>
      </c>
      <c r="M1046" s="19" t="s">
        <v>19</v>
      </c>
      <c r="N1046" s="19" t="s">
        <v>18</v>
      </c>
      <c r="O1046" s="19" t="s">
        <v>19</v>
      </c>
      <c r="P1046" s="19">
        <v>100.29944399999999</v>
      </c>
      <c r="Q1046" s="19">
        <v>5.4024999999999999</v>
      </c>
      <c r="R1046" s="19" t="s">
        <v>41</v>
      </c>
      <c r="S1046" s="19"/>
    </row>
    <row r="1047" spans="1:19" hidden="1" x14ac:dyDescent="0.25">
      <c r="A1047" s="28">
        <v>5403042</v>
      </c>
      <c r="B1047" s="15" t="s">
        <v>1829</v>
      </c>
      <c r="C1047" s="19" t="s">
        <v>12</v>
      </c>
      <c r="D1047" s="21" t="s">
        <v>1782</v>
      </c>
      <c r="E1047" s="19" t="s">
        <v>1830</v>
      </c>
      <c r="F1047" s="19" t="s">
        <v>474</v>
      </c>
      <c r="G1047" s="19" t="s">
        <v>474</v>
      </c>
      <c r="H1047" s="19" t="s">
        <v>1831</v>
      </c>
      <c r="I1047" s="19" t="s">
        <v>1742</v>
      </c>
      <c r="J1047" s="19" t="s">
        <v>19</v>
      </c>
      <c r="K1047" s="19" t="s">
        <v>19</v>
      </c>
      <c r="L1047" s="19" t="s">
        <v>18</v>
      </c>
      <c r="M1047" s="19" t="s">
        <v>19</v>
      </c>
      <c r="N1047" s="19" t="s">
        <v>19</v>
      </c>
      <c r="O1047" s="19" t="s">
        <v>19</v>
      </c>
      <c r="P1047" s="19">
        <v>100.38888900000001</v>
      </c>
      <c r="Q1047" s="19">
        <v>5.4625000000000004</v>
      </c>
      <c r="R1047" s="19"/>
      <c r="S1047" s="19"/>
    </row>
    <row r="1048" spans="1:19" hidden="1" x14ac:dyDescent="0.25">
      <c r="A1048" s="28">
        <v>5403043</v>
      </c>
      <c r="B1048" s="15" t="s">
        <v>1832</v>
      </c>
      <c r="C1048" s="19" t="s">
        <v>12</v>
      </c>
      <c r="D1048" s="21" t="s">
        <v>1782</v>
      </c>
      <c r="E1048" s="19" t="s">
        <v>1806</v>
      </c>
      <c r="F1048" s="19" t="s">
        <v>1797</v>
      </c>
      <c r="G1048" s="19" t="s">
        <v>1797</v>
      </c>
      <c r="H1048" s="19"/>
      <c r="I1048" s="19"/>
      <c r="J1048" s="19" t="s">
        <v>19</v>
      </c>
      <c r="K1048" s="19" t="s">
        <v>18</v>
      </c>
      <c r="L1048" s="19" t="s">
        <v>19</v>
      </c>
      <c r="M1048" s="19" t="s">
        <v>18</v>
      </c>
      <c r="N1048" s="19" t="s">
        <v>19</v>
      </c>
      <c r="O1048" s="19" t="s">
        <v>19</v>
      </c>
      <c r="P1048" s="19">
        <v>100.316278</v>
      </c>
      <c r="Q1048" s="19">
        <v>5.4102220000000001</v>
      </c>
      <c r="R1048" s="19"/>
      <c r="S1048" s="19"/>
    </row>
    <row r="1049" spans="1:19" hidden="1" x14ac:dyDescent="0.25">
      <c r="A1049" s="28">
        <v>5404041</v>
      </c>
      <c r="B1049" s="15" t="s">
        <v>1833</v>
      </c>
      <c r="C1049" s="19" t="s">
        <v>12</v>
      </c>
      <c r="D1049" s="21" t="s">
        <v>1782</v>
      </c>
      <c r="E1049" s="19" t="s">
        <v>1830</v>
      </c>
      <c r="F1049" s="19" t="s">
        <v>1834</v>
      </c>
      <c r="G1049" s="19" t="s">
        <v>474</v>
      </c>
      <c r="H1049" s="19" t="s">
        <v>1311</v>
      </c>
      <c r="I1049" s="19"/>
      <c r="J1049" s="19" t="s">
        <v>18</v>
      </c>
      <c r="K1049" s="19" t="s">
        <v>18</v>
      </c>
      <c r="L1049" s="19" t="s">
        <v>18</v>
      </c>
      <c r="M1049" s="19" t="s">
        <v>19</v>
      </c>
      <c r="N1049" s="19" t="s">
        <v>18</v>
      </c>
      <c r="O1049" s="19" t="s">
        <v>19</v>
      </c>
      <c r="P1049" s="19">
        <v>100.465278</v>
      </c>
      <c r="Q1049" s="19">
        <v>5.4888890000000004</v>
      </c>
      <c r="R1049" s="19" t="s">
        <v>20</v>
      </c>
      <c r="S1049" s="19"/>
    </row>
    <row r="1050" spans="1:19" hidden="1" x14ac:dyDescent="0.25">
      <c r="A1050" s="28">
        <v>5404043</v>
      </c>
      <c r="B1050" s="15" t="s">
        <v>1835</v>
      </c>
      <c r="C1050" s="19" t="s">
        <v>12</v>
      </c>
      <c r="D1050" s="21" t="s">
        <v>1782</v>
      </c>
      <c r="E1050" s="19" t="s">
        <v>1836</v>
      </c>
      <c r="F1050" s="19" t="s">
        <v>1837</v>
      </c>
      <c r="G1050" s="19" t="s">
        <v>474</v>
      </c>
      <c r="H1050" s="19" t="s">
        <v>468</v>
      </c>
      <c r="I1050" s="19"/>
      <c r="J1050" s="19" t="s">
        <v>18</v>
      </c>
      <c r="K1050" s="19" t="s">
        <v>18</v>
      </c>
      <c r="L1050" s="19" t="s">
        <v>18</v>
      </c>
      <c r="M1050" s="19" t="s">
        <v>19</v>
      </c>
      <c r="N1050" s="19" t="s">
        <v>18</v>
      </c>
      <c r="O1050" s="19" t="s">
        <v>19</v>
      </c>
      <c r="P1050" s="19">
        <v>100.48055600000001</v>
      </c>
      <c r="Q1050" s="19">
        <v>5.4333330000000002</v>
      </c>
      <c r="R1050" s="19" t="s">
        <v>41</v>
      </c>
      <c r="S1050" s="19"/>
    </row>
    <row r="1051" spans="1:19" hidden="1" x14ac:dyDescent="0.25">
      <c r="A1051" s="28">
        <v>5404044</v>
      </c>
      <c r="B1051" s="15" t="s">
        <v>1838</v>
      </c>
      <c r="C1051" s="19" t="s">
        <v>12</v>
      </c>
      <c r="D1051" s="21" t="s">
        <v>1782</v>
      </c>
      <c r="E1051" s="19" t="s">
        <v>1280</v>
      </c>
      <c r="F1051" s="19"/>
      <c r="G1051" s="19" t="s">
        <v>1837</v>
      </c>
      <c r="H1051" s="19" t="s">
        <v>468</v>
      </c>
      <c r="I1051" s="19" t="s">
        <v>911</v>
      </c>
      <c r="J1051" s="19" t="s">
        <v>19</v>
      </c>
      <c r="K1051" s="19" t="s">
        <v>19</v>
      </c>
      <c r="L1051" s="19" t="s">
        <v>18</v>
      </c>
      <c r="M1051" s="19" t="s">
        <v>19</v>
      </c>
      <c r="N1051" s="19" t="s">
        <v>19</v>
      </c>
      <c r="O1051" s="19" t="s">
        <v>19</v>
      </c>
      <c r="P1051" s="19">
        <v>100.430556</v>
      </c>
      <c r="Q1051" s="19">
        <v>5.4138890000000002</v>
      </c>
      <c r="R1051" s="19" t="s">
        <v>544</v>
      </c>
      <c r="S1051" s="19"/>
    </row>
    <row r="1052" spans="1:19" hidden="1" x14ac:dyDescent="0.25">
      <c r="A1052" s="28">
        <v>5405001</v>
      </c>
      <c r="B1052" s="15" t="s">
        <v>1839</v>
      </c>
      <c r="C1052" s="19" t="s">
        <v>12</v>
      </c>
      <c r="D1052" s="21" t="s">
        <v>1782</v>
      </c>
      <c r="E1052" s="19" t="s">
        <v>1840</v>
      </c>
      <c r="F1052" s="19"/>
      <c r="G1052" s="19" t="s">
        <v>1841</v>
      </c>
      <c r="H1052" s="19"/>
      <c r="I1052" s="19"/>
      <c r="J1052" s="19" t="s">
        <v>19</v>
      </c>
      <c r="K1052" s="19" t="s">
        <v>18</v>
      </c>
      <c r="L1052" s="19" t="s">
        <v>19</v>
      </c>
      <c r="M1052" s="19" t="s">
        <v>18</v>
      </c>
      <c r="N1052" s="19" t="s">
        <v>19</v>
      </c>
      <c r="O1052" s="19" t="s">
        <v>19</v>
      </c>
      <c r="P1052" s="19">
        <v>100.513333</v>
      </c>
      <c r="Q1052" s="19">
        <v>5.4352780000000003</v>
      </c>
      <c r="R1052" s="19"/>
      <c r="S1052" s="19"/>
    </row>
    <row r="1053" spans="1:19" hidden="1" x14ac:dyDescent="0.25">
      <c r="A1053" s="29">
        <v>5406081</v>
      </c>
      <c r="B1053" s="25" t="s">
        <v>473</v>
      </c>
      <c r="C1053" s="26" t="s">
        <v>12</v>
      </c>
      <c r="D1053" s="24" t="s">
        <v>451</v>
      </c>
      <c r="E1053" s="26" t="s">
        <v>456</v>
      </c>
      <c r="F1053" s="26"/>
      <c r="G1053" s="26" t="s">
        <v>474</v>
      </c>
      <c r="H1053" s="26" t="s">
        <v>475</v>
      </c>
      <c r="I1053" s="26"/>
      <c r="J1053" s="26" t="s">
        <v>18</v>
      </c>
      <c r="K1053" s="26" t="s">
        <v>18</v>
      </c>
      <c r="L1053" s="26" t="s">
        <v>18</v>
      </c>
      <c r="M1053" s="26" t="s">
        <v>19</v>
      </c>
      <c r="N1053" s="26" t="s">
        <v>19</v>
      </c>
      <c r="O1053" s="26" t="s">
        <v>19</v>
      </c>
      <c r="P1053" s="26">
        <v>100.67361099999999</v>
      </c>
      <c r="Q1053" s="26">
        <v>5.4583329999999997</v>
      </c>
      <c r="R1053" s="26"/>
      <c r="S1053" s="26" t="s">
        <v>20</v>
      </c>
    </row>
    <row r="1054" spans="1:19" hidden="1" x14ac:dyDescent="0.25">
      <c r="A1054" s="29">
        <v>5406083</v>
      </c>
      <c r="B1054" s="25" t="s">
        <v>476</v>
      </c>
      <c r="C1054" s="26" t="s">
        <v>12</v>
      </c>
      <c r="D1054" s="24" t="s">
        <v>451</v>
      </c>
      <c r="E1054" s="26" t="s">
        <v>456</v>
      </c>
      <c r="F1054" s="26"/>
      <c r="G1054" s="26" t="s">
        <v>474</v>
      </c>
      <c r="H1054" s="26" t="s">
        <v>477</v>
      </c>
      <c r="I1054" s="26"/>
      <c r="J1054" s="26" t="s">
        <v>18</v>
      </c>
      <c r="K1054" s="26" t="s">
        <v>18</v>
      </c>
      <c r="L1054" s="26" t="s">
        <v>18</v>
      </c>
      <c r="M1054" s="26" t="s">
        <v>19</v>
      </c>
      <c r="N1054" s="26" t="s">
        <v>19</v>
      </c>
      <c r="O1054" s="26" t="s">
        <v>19</v>
      </c>
      <c r="P1054" s="26">
        <v>100.60555600000001</v>
      </c>
      <c r="Q1054" s="26">
        <v>5.4291669999999996</v>
      </c>
      <c r="R1054" s="26"/>
      <c r="S1054" s="26" t="s">
        <v>20</v>
      </c>
    </row>
    <row r="1055" spans="1:19" hidden="1" x14ac:dyDescent="0.25">
      <c r="A1055" s="29">
        <v>5407080</v>
      </c>
      <c r="B1055" s="25" t="s">
        <v>478</v>
      </c>
      <c r="C1055" s="26" t="s">
        <v>12</v>
      </c>
      <c r="D1055" s="24" t="s">
        <v>451</v>
      </c>
      <c r="E1055" s="26" t="s">
        <v>479</v>
      </c>
      <c r="F1055" s="26" t="s">
        <v>480</v>
      </c>
      <c r="G1055" s="26" t="s">
        <v>481</v>
      </c>
      <c r="H1055" s="26" t="s">
        <v>477</v>
      </c>
      <c r="I1055" s="26"/>
      <c r="J1055" s="26" t="s">
        <v>18</v>
      </c>
      <c r="K1055" s="26" t="s">
        <v>18</v>
      </c>
      <c r="L1055" s="26" t="s">
        <v>18</v>
      </c>
      <c r="M1055" s="26" t="s">
        <v>19</v>
      </c>
      <c r="N1055" s="26" t="s">
        <v>19</v>
      </c>
      <c r="O1055" s="26" t="s">
        <v>19</v>
      </c>
      <c r="P1055" s="26">
        <v>100.73611099999999</v>
      </c>
      <c r="Q1055" s="26">
        <v>5.401389</v>
      </c>
      <c r="R1055" s="26"/>
      <c r="S1055" s="26" t="s">
        <v>20</v>
      </c>
    </row>
    <row r="1056" spans="1:19" x14ac:dyDescent="0.25">
      <c r="A1056" s="28">
        <v>5411066</v>
      </c>
      <c r="B1056" s="15" t="s">
        <v>957</v>
      </c>
      <c r="C1056" s="19" t="s">
        <v>12</v>
      </c>
      <c r="D1056" s="21" t="s">
        <v>633</v>
      </c>
      <c r="E1056" s="19" t="s">
        <v>956</v>
      </c>
      <c r="F1056" s="19" t="s">
        <v>958</v>
      </c>
      <c r="G1056" s="19" t="s">
        <v>648</v>
      </c>
      <c r="H1056" s="19" t="s">
        <v>959</v>
      </c>
      <c r="I1056" s="19"/>
      <c r="J1056" s="19" t="s">
        <v>18</v>
      </c>
      <c r="K1056" s="19" t="s">
        <v>18</v>
      </c>
      <c r="L1056" s="19" t="s">
        <v>19</v>
      </c>
      <c r="M1056" s="19" t="s">
        <v>18</v>
      </c>
      <c r="N1056" s="19" t="s">
        <v>18</v>
      </c>
      <c r="O1056" s="19" t="s">
        <v>19</v>
      </c>
      <c r="P1056" s="19">
        <v>101.154167</v>
      </c>
      <c r="Q1056" s="19">
        <v>5.4166670000000003</v>
      </c>
      <c r="R1056" s="19"/>
      <c r="S1056" s="19" t="s">
        <v>41</v>
      </c>
    </row>
    <row r="1057" spans="1:19" x14ac:dyDescent="0.25">
      <c r="A1057" s="28">
        <v>5411068</v>
      </c>
      <c r="B1057" s="15" t="s">
        <v>960</v>
      </c>
      <c r="C1057" s="19" t="s">
        <v>12</v>
      </c>
      <c r="D1057" s="21" t="s">
        <v>633</v>
      </c>
      <c r="E1057" s="19" t="s">
        <v>956</v>
      </c>
      <c r="F1057" s="19" t="s">
        <v>961</v>
      </c>
      <c r="G1057" s="19" t="s">
        <v>648</v>
      </c>
      <c r="H1057" s="19" t="s">
        <v>962</v>
      </c>
      <c r="I1057" s="19" t="s">
        <v>963</v>
      </c>
      <c r="J1057" s="19" t="s">
        <v>19</v>
      </c>
      <c r="K1057" s="19" t="s">
        <v>19</v>
      </c>
      <c r="L1057" s="19" t="s">
        <v>18</v>
      </c>
      <c r="M1057" s="19" t="s">
        <v>19</v>
      </c>
      <c r="N1057" s="19" t="s">
        <v>19</v>
      </c>
      <c r="O1057" s="19" t="s">
        <v>19</v>
      </c>
      <c r="P1057" s="19">
        <v>101.130556</v>
      </c>
      <c r="Q1057" s="19">
        <v>5.4305560000000002</v>
      </c>
      <c r="R1057" s="19"/>
      <c r="S1057" s="19" t="s">
        <v>279</v>
      </c>
    </row>
    <row r="1058" spans="1:19" x14ac:dyDescent="0.25">
      <c r="A1058" s="28">
        <v>5412067</v>
      </c>
      <c r="B1058" s="15" t="s">
        <v>964</v>
      </c>
      <c r="C1058" s="19" t="s">
        <v>12</v>
      </c>
      <c r="D1058" s="21" t="s">
        <v>633</v>
      </c>
      <c r="E1058" s="19" t="s">
        <v>956</v>
      </c>
      <c r="F1058" s="19" t="s">
        <v>648</v>
      </c>
      <c r="G1058" s="19" t="s">
        <v>648</v>
      </c>
      <c r="H1058" s="19" t="s">
        <v>558</v>
      </c>
      <c r="I1058" s="19" t="s">
        <v>91</v>
      </c>
      <c r="J1058" s="19" t="s">
        <v>19</v>
      </c>
      <c r="K1058" s="19" t="s">
        <v>19</v>
      </c>
      <c r="L1058" s="19" t="s">
        <v>18</v>
      </c>
      <c r="M1058" s="19" t="s">
        <v>19</v>
      </c>
      <c r="N1058" s="19" t="s">
        <v>19</v>
      </c>
      <c r="O1058" s="19" t="s">
        <v>19</v>
      </c>
      <c r="P1058" s="19">
        <v>101.2</v>
      </c>
      <c r="Q1058" s="19">
        <v>5.4722220000000004</v>
      </c>
      <c r="R1058" s="19"/>
      <c r="S1058" s="19" t="s">
        <v>41</v>
      </c>
    </row>
    <row r="1059" spans="1:19" hidden="1" x14ac:dyDescent="0.25">
      <c r="A1059" s="28">
        <v>5419001</v>
      </c>
      <c r="B1059" s="15" t="s">
        <v>1027</v>
      </c>
      <c r="C1059" s="19" t="s">
        <v>12</v>
      </c>
      <c r="D1059" s="21" t="s">
        <v>976</v>
      </c>
      <c r="E1059" s="19" t="s">
        <v>1020</v>
      </c>
      <c r="F1059" s="19" t="s">
        <v>1028</v>
      </c>
      <c r="G1059" s="19"/>
      <c r="H1059" s="19"/>
      <c r="I1059" s="19"/>
      <c r="J1059" s="19" t="s">
        <v>19</v>
      </c>
      <c r="K1059" s="19" t="s">
        <v>18</v>
      </c>
      <c r="L1059" s="19" t="s">
        <v>19</v>
      </c>
      <c r="M1059" s="19" t="s">
        <v>18</v>
      </c>
      <c r="N1059" s="19" t="s">
        <v>19</v>
      </c>
      <c r="O1059" s="19"/>
      <c r="P1059" s="19">
        <v>101.94583299999999</v>
      </c>
      <c r="Q1059" s="19">
        <v>5.418056</v>
      </c>
      <c r="R1059" s="19"/>
      <c r="S1059" s="19"/>
    </row>
    <row r="1060" spans="1:19" hidden="1" x14ac:dyDescent="0.25">
      <c r="A1060" s="28">
        <v>5419002</v>
      </c>
      <c r="B1060" s="15" t="s">
        <v>1029</v>
      </c>
      <c r="C1060" s="19" t="s">
        <v>12</v>
      </c>
      <c r="D1060" s="21" t="s">
        <v>976</v>
      </c>
      <c r="E1060" s="19" t="s">
        <v>1020</v>
      </c>
      <c r="F1060" s="19" t="s">
        <v>1028</v>
      </c>
      <c r="G1060" s="19"/>
      <c r="H1060" s="19"/>
      <c r="I1060" s="19"/>
      <c r="J1060" s="19" t="s">
        <v>19</v>
      </c>
      <c r="K1060" s="19" t="s">
        <v>19</v>
      </c>
      <c r="L1060" s="19" t="s">
        <v>19</v>
      </c>
      <c r="M1060" s="19" t="s">
        <v>19</v>
      </c>
      <c r="N1060" s="19" t="s">
        <v>18</v>
      </c>
      <c r="O1060" s="19"/>
      <c r="P1060" s="19">
        <v>101.90770000000001</v>
      </c>
      <c r="Q1060" s="19">
        <v>5.4379939999999998</v>
      </c>
      <c r="R1060" s="19"/>
      <c r="S1060" s="19"/>
    </row>
    <row r="1061" spans="1:19" hidden="1" x14ac:dyDescent="0.25">
      <c r="A1061" s="28">
        <v>5419036</v>
      </c>
      <c r="B1061" s="15" t="s">
        <v>1030</v>
      </c>
      <c r="C1061" s="19" t="s">
        <v>12</v>
      </c>
      <c r="D1061" s="21" t="s">
        <v>976</v>
      </c>
      <c r="E1061" s="19" t="s">
        <v>1020</v>
      </c>
      <c r="F1061" s="19" t="s">
        <v>1028</v>
      </c>
      <c r="G1061" s="19" t="s">
        <v>976</v>
      </c>
      <c r="H1061" s="19" t="s">
        <v>1009</v>
      </c>
      <c r="I1061" s="19"/>
      <c r="J1061" s="19" t="s">
        <v>18</v>
      </c>
      <c r="K1061" s="19" t="s">
        <v>18</v>
      </c>
      <c r="L1061" s="19" t="s">
        <v>19</v>
      </c>
      <c r="M1061" s="19" t="s">
        <v>19</v>
      </c>
      <c r="N1061" s="19" t="s">
        <v>18</v>
      </c>
      <c r="O1061" s="19"/>
      <c r="P1061" s="19">
        <v>101.913889</v>
      </c>
      <c r="Q1061" s="19">
        <v>5.45</v>
      </c>
      <c r="R1061" s="19"/>
      <c r="S1061" s="19" t="s">
        <v>20</v>
      </c>
    </row>
    <row r="1062" spans="1:19" hidden="1" x14ac:dyDescent="0.25">
      <c r="A1062" s="28">
        <v>5422046</v>
      </c>
      <c r="B1062" s="15" t="s">
        <v>1031</v>
      </c>
      <c r="C1062" s="19" t="s">
        <v>12</v>
      </c>
      <c r="D1062" s="21" t="s">
        <v>976</v>
      </c>
      <c r="E1062" s="19" t="s">
        <v>996</v>
      </c>
      <c r="F1062" s="19" t="s">
        <v>997</v>
      </c>
      <c r="G1062" s="19" t="s">
        <v>1032</v>
      </c>
      <c r="H1062" s="19" t="s">
        <v>1014</v>
      </c>
      <c r="I1062" s="19"/>
      <c r="J1062" s="19" t="s">
        <v>18</v>
      </c>
      <c r="K1062" s="19" t="s">
        <v>18</v>
      </c>
      <c r="L1062" s="19" t="s">
        <v>19</v>
      </c>
      <c r="M1062" s="19" t="s">
        <v>19</v>
      </c>
      <c r="N1062" s="19" t="s">
        <v>18</v>
      </c>
      <c r="O1062" s="19"/>
      <c r="P1062" s="19">
        <v>102.23055600000001</v>
      </c>
      <c r="Q1062" s="19">
        <v>5.4597220000000002</v>
      </c>
      <c r="R1062" s="19"/>
      <c r="S1062" s="19" t="s">
        <v>20</v>
      </c>
    </row>
    <row r="1063" spans="1:19" hidden="1" x14ac:dyDescent="0.25">
      <c r="A1063" s="29">
        <v>5424001</v>
      </c>
      <c r="B1063" s="25" t="s">
        <v>1971</v>
      </c>
      <c r="C1063" s="26" t="s">
        <v>12</v>
      </c>
      <c r="D1063" s="24" t="s">
        <v>1865</v>
      </c>
      <c r="E1063" s="26" t="s">
        <v>1972</v>
      </c>
      <c r="F1063" s="26" t="s">
        <v>1973</v>
      </c>
      <c r="G1063" s="26" t="s">
        <v>1973</v>
      </c>
      <c r="H1063" s="26" t="s">
        <v>1141</v>
      </c>
      <c r="I1063" s="26"/>
      <c r="J1063" s="26" t="s">
        <v>18</v>
      </c>
      <c r="K1063" s="26" t="s">
        <v>18</v>
      </c>
      <c r="L1063" s="26" t="s">
        <v>19</v>
      </c>
      <c r="M1063" s="26" t="s">
        <v>18</v>
      </c>
      <c r="N1063" s="26" t="s">
        <v>18</v>
      </c>
      <c r="O1063" s="26" t="s">
        <v>19</v>
      </c>
      <c r="P1063" s="26">
        <v>102.49166700000001</v>
      </c>
      <c r="Q1063" s="26">
        <v>5.483333</v>
      </c>
      <c r="R1063" s="26" t="s">
        <v>41</v>
      </c>
      <c r="S1063" s="26" t="s">
        <v>1870</v>
      </c>
    </row>
    <row r="1064" spans="1:19" hidden="1" x14ac:dyDescent="0.25">
      <c r="A1064" s="29">
        <v>5426001</v>
      </c>
      <c r="B1064" s="25" t="s">
        <v>1974</v>
      </c>
      <c r="C1064" s="26" t="s">
        <v>12</v>
      </c>
      <c r="D1064" s="24" t="s">
        <v>1865</v>
      </c>
      <c r="E1064" s="26" t="s">
        <v>1898</v>
      </c>
      <c r="F1064" s="26"/>
      <c r="G1064" s="26" t="s">
        <v>1898</v>
      </c>
      <c r="H1064" s="26" t="s">
        <v>979</v>
      </c>
      <c r="I1064" s="26"/>
      <c r="J1064" s="26" t="s">
        <v>18</v>
      </c>
      <c r="K1064" s="26" t="s">
        <v>18</v>
      </c>
      <c r="L1064" s="26" t="s">
        <v>19</v>
      </c>
      <c r="M1064" s="26" t="s">
        <v>19</v>
      </c>
      <c r="N1064" s="26" t="s">
        <v>18</v>
      </c>
      <c r="O1064" s="26" t="s">
        <v>19</v>
      </c>
      <c r="P1064" s="26">
        <v>102.675</v>
      </c>
      <c r="Q1064" s="26">
        <v>5.4763890000000002</v>
      </c>
      <c r="R1064" s="26" t="s">
        <v>41</v>
      </c>
      <c r="S1064" s="26" t="s">
        <v>1870</v>
      </c>
    </row>
    <row r="1065" spans="1:19" hidden="1" x14ac:dyDescent="0.25">
      <c r="A1065" s="29">
        <v>5426003</v>
      </c>
      <c r="B1065" s="25" t="s">
        <v>1975</v>
      </c>
      <c r="C1065" s="26" t="s">
        <v>12</v>
      </c>
      <c r="D1065" s="24" t="s">
        <v>1865</v>
      </c>
      <c r="E1065" s="26" t="s">
        <v>1898</v>
      </c>
      <c r="F1065" s="26" t="s">
        <v>1900</v>
      </c>
      <c r="G1065" s="26" t="s">
        <v>1900</v>
      </c>
      <c r="H1065" s="26"/>
      <c r="I1065" s="26"/>
      <c r="J1065" s="26" t="s">
        <v>19</v>
      </c>
      <c r="K1065" s="26" t="s">
        <v>18</v>
      </c>
      <c r="L1065" s="26" t="s">
        <v>19</v>
      </c>
      <c r="M1065" s="26" t="s">
        <v>18</v>
      </c>
      <c r="N1065" s="26" t="s">
        <v>19</v>
      </c>
      <c r="O1065" s="26" t="s">
        <v>19</v>
      </c>
      <c r="P1065" s="26">
        <v>102.686111</v>
      </c>
      <c r="Q1065" s="26">
        <v>5.4869440000000003</v>
      </c>
      <c r="R1065" s="26"/>
      <c r="S1065" s="26" t="s">
        <v>1870</v>
      </c>
    </row>
    <row r="1066" spans="1:19" hidden="1" x14ac:dyDescent="0.25">
      <c r="A1066" s="29">
        <v>5428001</v>
      </c>
      <c r="B1066" s="25" t="s">
        <v>1976</v>
      </c>
      <c r="C1066" s="26" t="s">
        <v>12</v>
      </c>
      <c r="D1066" s="24" t="s">
        <v>1865</v>
      </c>
      <c r="E1066" s="26" t="s">
        <v>1898</v>
      </c>
      <c r="F1066" s="26"/>
      <c r="G1066" s="26" t="s">
        <v>1977</v>
      </c>
      <c r="H1066" s="26" t="s">
        <v>1964</v>
      </c>
      <c r="I1066" s="26"/>
      <c r="J1066" s="26" t="s">
        <v>18</v>
      </c>
      <c r="K1066" s="26" t="s">
        <v>18</v>
      </c>
      <c r="L1066" s="26" t="s">
        <v>19</v>
      </c>
      <c r="M1066" s="26" t="s">
        <v>19</v>
      </c>
      <c r="N1066" s="26" t="s">
        <v>18</v>
      </c>
      <c r="O1066" s="26" t="s">
        <v>19</v>
      </c>
      <c r="P1066" s="26">
        <v>102.81527800000001</v>
      </c>
      <c r="Q1066" s="26">
        <v>5.447222</v>
      </c>
      <c r="R1066" s="26" t="s">
        <v>41</v>
      </c>
      <c r="S1066" s="26" t="s">
        <v>1870</v>
      </c>
    </row>
    <row r="1067" spans="1:19" hidden="1" x14ac:dyDescent="0.25">
      <c r="A1067" s="29">
        <v>5428002</v>
      </c>
      <c r="B1067" s="25" t="s">
        <v>1978</v>
      </c>
      <c r="C1067" s="26" t="s">
        <v>12</v>
      </c>
      <c r="D1067" s="24" t="s">
        <v>1865</v>
      </c>
      <c r="E1067" s="26" t="s">
        <v>1898</v>
      </c>
      <c r="F1067" s="26"/>
      <c r="G1067" s="26" t="s">
        <v>1977</v>
      </c>
      <c r="H1067" s="26" t="s">
        <v>1964</v>
      </c>
      <c r="I1067" s="26"/>
      <c r="J1067" s="26" t="s">
        <v>18</v>
      </c>
      <c r="K1067" s="26" t="s">
        <v>18</v>
      </c>
      <c r="L1067" s="26" t="s">
        <v>19</v>
      </c>
      <c r="M1067" s="26" t="s">
        <v>19</v>
      </c>
      <c r="N1067" s="26" t="s">
        <v>18</v>
      </c>
      <c r="O1067" s="26" t="s">
        <v>19</v>
      </c>
      <c r="P1067" s="26">
        <v>102.823611</v>
      </c>
      <c r="Q1067" s="26">
        <v>5.411111</v>
      </c>
      <c r="R1067" s="26" t="s">
        <v>41</v>
      </c>
      <c r="S1067" s="26" t="s">
        <v>1870</v>
      </c>
    </row>
    <row r="1068" spans="1:19" hidden="1" x14ac:dyDescent="0.25">
      <c r="A1068" s="29">
        <v>5428003</v>
      </c>
      <c r="B1068" s="25" t="s">
        <v>1979</v>
      </c>
      <c r="C1068" s="26" t="s">
        <v>12</v>
      </c>
      <c r="D1068" s="24" t="s">
        <v>1865</v>
      </c>
      <c r="E1068" s="26" t="s">
        <v>1898</v>
      </c>
      <c r="F1068" s="26" t="s">
        <v>1899</v>
      </c>
      <c r="G1068" s="26" t="s">
        <v>1900</v>
      </c>
      <c r="H1068" s="26"/>
      <c r="I1068" s="26"/>
      <c r="J1068" s="26" t="s">
        <v>19</v>
      </c>
      <c r="K1068" s="26" t="s">
        <v>18</v>
      </c>
      <c r="L1068" s="26" t="s">
        <v>19</v>
      </c>
      <c r="M1068" s="26" t="s">
        <v>18</v>
      </c>
      <c r="N1068" s="26" t="s">
        <v>19</v>
      </c>
      <c r="O1068" s="26" t="s">
        <v>19</v>
      </c>
      <c r="P1068" s="26">
        <v>102.834722</v>
      </c>
      <c r="Q1068" s="26">
        <v>5.4416669999999998</v>
      </c>
      <c r="R1068" s="26"/>
      <c r="S1068" s="26" t="s">
        <v>1870</v>
      </c>
    </row>
    <row r="1069" spans="1:19" hidden="1" x14ac:dyDescent="0.25">
      <c r="A1069" s="29">
        <v>5428025</v>
      </c>
      <c r="B1069" s="25" t="s">
        <v>1980</v>
      </c>
      <c r="C1069" s="26" t="s">
        <v>12</v>
      </c>
      <c r="D1069" s="24" t="s">
        <v>1865</v>
      </c>
      <c r="E1069" s="26" t="s">
        <v>1898</v>
      </c>
      <c r="F1069" s="26"/>
      <c r="G1069" s="26" t="s">
        <v>1977</v>
      </c>
      <c r="H1069" s="26" t="s">
        <v>1048</v>
      </c>
      <c r="I1069" s="26"/>
      <c r="J1069" s="26" t="s">
        <v>18</v>
      </c>
      <c r="K1069" s="26" t="s">
        <v>18</v>
      </c>
      <c r="L1069" s="26" t="s">
        <v>19</v>
      </c>
      <c r="M1069" s="26" t="s">
        <v>19</v>
      </c>
      <c r="N1069" s="26" t="s">
        <v>18</v>
      </c>
      <c r="O1069" s="26" t="s">
        <v>19</v>
      </c>
      <c r="P1069" s="26">
        <v>102.805556</v>
      </c>
      <c r="Q1069" s="26">
        <v>5.4652779999999996</v>
      </c>
      <c r="R1069" s="26" t="s">
        <v>41</v>
      </c>
      <c r="S1069" s="26" t="s">
        <v>1870</v>
      </c>
    </row>
    <row r="1070" spans="1:19" hidden="1" x14ac:dyDescent="0.25">
      <c r="A1070" s="29">
        <v>5430049</v>
      </c>
      <c r="B1070" s="25" t="s">
        <v>1981</v>
      </c>
      <c r="C1070" s="26" t="s">
        <v>12</v>
      </c>
      <c r="D1070" s="24" t="s">
        <v>1865</v>
      </c>
      <c r="E1070" s="26" t="s">
        <v>1958</v>
      </c>
      <c r="F1070" s="26"/>
      <c r="G1070" s="26" t="s">
        <v>1865</v>
      </c>
      <c r="H1070" s="26" t="s">
        <v>763</v>
      </c>
      <c r="I1070" s="26"/>
      <c r="J1070" s="26" t="s">
        <v>18</v>
      </c>
      <c r="K1070" s="26" t="s">
        <v>18</v>
      </c>
      <c r="L1070" s="26" t="s">
        <v>19</v>
      </c>
      <c r="M1070" s="26" t="s">
        <v>19</v>
      </c>
      <c r="N1070" s="26" t="s">
        <v>18</v>
      </c>
      <c r="O1070" s="26" t="s">
        <v>19</v>
      </c>
      <c r="P1070" s="26">
        <v>103.040278</v>
      </c>
      <c r="Q1070" s="26">
        <v>5.4291669999999996</v>
      </c>
      <c r="R1070" s="26" t="s">
        <v>41</v>
      </c>
      <c r="S1070" s="26" t="s">
        <v>1870</v>
      </c>
    </row>
    <row r="1071" spans="1:19" hidden="1" x14ac:dyDescent="0.25">
      <c r="A1071" s="28">
        <v>5503031</v>
      </c>
      <c r="B1071" s="15" t="s">
        <v>1842</v>
      </c>
      <c r="C1071" s="19" t="s">
        <v>12</v>
      </c>
      <c r="D1071" s="21" t="s">
        <v>1782</v>
      </c>
      <c r="E1071" s="19" t="s">
        <v>1830</v>
      </c>
      <c r="F1071" s="19" t="s">
        <v>483</v>
      </c>
      <c r="G1071" s="19" t="s">
        <v>483</v>
      </c>
      <c r="H1071" s="19" t="s">
        <v>1843</v>
      </c>
      <c r="I1071" s="19"/>
      <c r="J1071" s="19" t="s">
        <v>18</v>
      </c>
      <c r="K1071" s="19" t="s">
        <v>18</v>
      </c>
      <c r="L1071" s="19" t="s">
        <v>18</v>
      </c>
      <c r="M1071" s="19" t="s">
        <v>19</v>
      </c>
      <c r="N1071" s="19" t="s">
        <v>18</v>
      </c>
      <c r="O1071" s="19" t="s">
        <v>19</v>
      </c>
      <c r="P1071" s="19">
        <v>100.391667</v>
      </c>
      <c r="Q1071" s="19">
        <v>5.4138890000000002</v>
      </c>
      <c r="R1071" s="19" t="s">
        <v>41</v>
      </c>
      <c r="S1071" s="19"/>
    </row>
    <row r="1072" spans="1:19" hidden="1" x14ac:dyDescent="0.25">
      <c r="A1072" s="28">
        <v>5503034</v>
      </c>
      <c r="B1072" s="15" t="s">
        <v>1844</v>
      </c>
      <c r="C1072" s="19" t="s">
        <v>12</v>
      </c>
      <c r="D1072" s="21" t="s">
        <v>1782</v>
      </c>
      <c r="E1072" s="19" t="s">
        <v>1830</v>
      </c>
      <c r="F1072" s="19" t="s">
        <v>1845</v>
      </c>
      <c r="G1072" s="19" t="s">
        <v>483</v>
      </c>
      <c r="H1072" s="19" t="s">
        <v>477</v>
      </c>
      <c r="I1072" s="19"/>
      <c r="J1072" s="19" t="s">
        <v>18</v>
      </c>
      <c r="K1072" s="19" t="s">
        <v>18</v>
      </c>
      <c r="L1072" s="19" t="s">
        <v>18</v>
      </c>
      <c r="M1072" s="19" t="s">
        <v>19</v>
      </c>
      <c r="N1072" s="19" t="s">
        <v>18</v>
      </c>
      <c r="O1072" s="19" t="s">
        <v>19</v>
      </c>
      <c r="P1072" s="19">
        <v>100.39444399999999</v>
      </c>
      <c r="Q1072" s="19">
        <v>5.5027780000000002</v>
      </c>
      <c r="R1072" s="19" t="s">
        <v>41</v>
      </c>
      <c r="S1072" s="19"/>
    </row>
    <row r="1073" spans="1:19" hidden="1" x14ac:dyDescent="0.25">
      <c r="A1073" s="28">
        <v>5504032</v>
      </c>
      <c r="B1073" s="15" t="s">
        <v>1846</v>
      </c>
      <c r="C1073" s="19" t="s">
        <v>12</v>
      </c>
      <c r="D1073" s="21" t="s">
        <v>1782</v>
      </c>
      <c r="E1073" s="19" t="s">
        <v>1830</v>
      </c>
      <c r="F1073" s="19" t="s">
        <v>483</v>
      </c>
      <c r="G1073" s="19" t="s">
        <v>483</v>
      </c>
      <c r="H1073" s="19" t="s">
        <v>1163</v>
      </c>
      <c r="I1073" s="19"/>
      <c r="J1073" s="19" t="s">
        <v>18</v>
      </c>
      <c r="K1073" s="19" t="s">
        <v>18</v>
      </c>
      <c r="L1073" s="19" t="s">
        <v>18</v>
      </c>
      <c r="M1073" s="19" t="s">
        <v>19</v>
      </c>
      <c r="N1073" s="19" t="s">
        <v>18</v>
      </c>
      <c r="O1073" s="19" t="s">
        <v>19</v>
      </c>
      <c r="P1073" s="19">
        <v>100.43638900000001</v>
      </c>
      <c r="Q1073" s="19">
        <v>5.5588889999999997</v>
      </c>
      <c r="R1073" s="19" t="s">
        <v>41</v>
      </c>
      <c r="S1073" s="19"/>
    </row>
    <row r="1074" spans="1:19" hidden="1" x14ac:dyDescent="0.25">
      <c r="A1074" s="28">
        <v>5504034</v>
      </c>
      <c r="B1074" s="15" t="s">
        <v>1847</v>
      </c>
      <c r="C1074" s="19" t="s">
        <v>12</v>
      </c>
      <c r="D1074" s="21" t="s">
        <v>1782</v>
      </c>
      <c r="E1074" s="19" t="s">
        <v>1830</v>
      </c>
      <c r="F1074" s="19" t="s">
        <v>483</v>
      </c>
      <c r="G1074" s="19" t="s">
        <v>483</v>
      </c>
      <c r="H1074" s="19" t="s">
        <v>1831</v>
      </c>
      <c r="I1074" s="19" t="s">
        <v>1848</v>
      </c>
      <c r="J1074" s="19" t="s">
        <v>19</v>
      </c>
      <c r="K1074" s="19" t="s">
        <v>19</v>
      </c>
      <c r="L1074" s="19" t="s">
        <v>18</v>
      </c>
      <c r="M1074" s="19" t="s">
        <v>19</v>
      </c>
      <c r="N1074" s="19" t="s">
        <v>19</v>
      </c>
      <c r="O1074" s="19" t="s">
        <v>19</v>
      </c>
      <c r="P1074" s="19">
        <v>100.405556</v>
      </c>
      <c r="Q1074" s="19">
        <v>5.5138889999999998</v>
      </c>
      <c r="R1074" s="19" t="s">
        <v>41</v>
      </c>
      <c r="S1074" s="19"/>
    </row>
    <row r="1075" spans="1:19" hidden="1" x14ac:dyDescent="0.25">
      <c r="A1075" s="28">
        <v>5504035</v>
      </c>
      <c r="B1075" s="15" t="s">
        <v>1849</v>
      </c>
      <c r="C1075" s="19" t="s">
        <v>12</v>
      </c>
      <c r="D1075" s="21" t="s">
        <v>1782</v>
      </c>
      <c r="E1075" s="19" t="s">
        <v>1830</v>
      </c>
      <c r="F1075" s="19" t="s">
        <v>1850</v>
      </c>
      <c r="G1075" s="19" t="s">
        <v>483</v>
      </c>
      <c r="H1075" s="19" t="s">
        <v>1851</v>
      </c>
      <c r="I1075" s="19"/>
      <c r="J1075" s="19" t="s">
        <v>18</v>
      </c>
      <c r="K1075" s="19" t="s">
        <v>18</v>
      </c>
      <c r="L1075" s="19" t="s">
        <v>18</v>
      </c>
      <c r="M1075" s="19" t="s">
        <v>19</v>
      </c>
      <c r="N1075" s="19" t="s">
        <v>18</v>
      </c>
      <c r="O1075" s="19" t="s">
        <v>19</v>
      </c>
      <c r="P1075" s="19">
        <v>100.430556</v>
      </c>
      <c r="Q1075" s="19">
        <v>5.5347220000000004</v>
      </c>
      <c r="R1075" s="19" t="s">
        <v>41</v>
      </c>
      <c r="S1075" s="19"/>
    </row>
    <row r="1076" spans="1:19" hidden="1" x14ac:dyDescent="0.25">
      <c r="A1076" s="28">
        <v>5504036</v>
      </c>
      <c r="B1076" s="15" t="s">
        <v>1852</v>
      </c>
      <c r="C1076" s="19" t="s">
        <v>12</v>
      </c>
      <c r="D1076" s="21" t="s">
        <v>1782</v>
      </c>
      <c r="E1076" s="19" t="s">
        <v>1853</v>
      </c>
      <c r="F1076" s="19" t="s">
        <v>483</v>
      </c>
      <c r="G1076" s="19" t="s">
        <v>502</v>
      </c>
      <c r="H1076" s="19"/>
      <c r="I1076" s="19" t="s">
        <v>19</v>
      </c>
      <c r="J1076" s="19" t="s">
        <v>18</v>
      </c>
      <c r="K1076" s="19" t="s">
        <v>19</v>
      </c>
      <c r="L1076" s="19" t="s">
        <v>18</v>
      </c>
      <c r="M1076" s="19" t="s">
        <v>19</v>
      </c>
      <c r="N1076" s="19" t="s">
        <v>19</v>
      </c>
      <c r="O1076" s="19"/>
      <c r="P1076" s="19">
        <v>100.436111</v>
      </c>
      <c r="Q1076" s="19">
        <v>5.5594440000000001</v>
      </c>
      <c r="R1076" s="19"/>
      <c r="S1076" s="19"/>
    </row>
    <row r="1077" spans="1:19" hidden="1" x14ac:dyDescent="0.25">
      <c r="A1077" s="29">
        <v>5504085</v>
      </c>
      <c r="B1077" s="25" t="s">
        <v>372</v>
      </c>
      <c r="C1077" s="26" t="s">
        <v>12</v>
      </c>
      <c r="D1077" s="24" t="s">
        <v>451</v>
      </c>
      <c r="E1077" s="26" t="s">
        <v>482</v>
      </c>
      <c r="F1077" s="26" t="s">
        <v>483</v>
      </c>
      <c r="G1077" s="26" t="s">
        <v>481</v>
      </c>
      <c r="H1077" s="26" t="s">
        <v>484</v>
      </c>
      <c r="I1077" s="26"/>
      <c r="J1077" s="26" t="s">
        <v>18</v>
      </c>
      <c r="K1077" s="26" t="s">
        <v>18</v>
      </c>
      <c r="L1077" s="26" t="s">
        <v>18</v>
      </c>
      <c r="M1077" s="26" t="s">
        <v>19</v>
      </c>
      <c r="N1077" s="26" t="s">
        <v>19</v>
      </c>
      <c r="O1077" s="26" t="s">
        <v>19</v>
      </c>
      <c r="P1077" s="26">
        <v>100.406944</v>
      </c>
      <c r="Q1077" s="26">
        <v>5.5777780000000003</v>
      </c>
      <c r="R1077" s="26"/>
      <c r="S1077" s="26" t="s">
        <v>41</v>
      </c>
    </row>
    <row r="1078" spans="1:19" hidden="1" x14ac:dyDescent="0.25">
      <c r="A1078" s="28">
        <v>5505032</v>
      </c>
      <c r="B1078" s="15" t="s">
        <v>1854</v>
      </c>
      <c r="C1078" s="19" t="s">
        <v>12</v>
      </c>
      <c r="D1078" s="21" t="s">
        <v>1782</v>
      </c>
      <c r="E1078" s="19" t="s">
        <v>1855</v>
      </c>
      <c r="F1078" s="19" t="s">
        <v>483</v>
      </c>
      <c r="G1078" s="19" t="s">
        <v>502</v>
      </c>
      <c r="H1078" s="19"/>
      <c r="I1078" s="19" t="s">
        <v>19</v>
      </c>
      <c r="J1078" s="19" t="s">
        <v>18</v>
      </c>
      <c r="K1078" s="19" t="s">
        <v>19</v>
      </c>
      <c r="L1078" s="19" t="s">
        <v>18</v>
      </c>
      <c r="M1078" s="19" t="s">
        <v>19</v>
      </c>
      <c r="N1078" s="19" t="s">
        <v>19</v>
      </c>
      <c r="O1078" s="19"/>
      <c r="P1078" s="19">
        <v>100.57333300000001</v>
      </c>
      <c r="Q1078" s="19">
        <v>5.5311110000000001</v>
      </c>
      <c r="R1078" s="19"/>
      <c r="S1078" s="19"/>
    </row>
    <row r="1079" spans="1:19" hidden="1" x14ac:dyDescent="0.25">
      <c r="A1079" s="28">
        <v>5505033</v>
      </c>
      <c r="B1079" s="15" t="s">
        <v>1856</v>
      </c>
      <c r="C1079" s="19" t="s">
        <v>12</v>
      </c>
      <c r="D1079" s="21" t="s">
        <v>1782</v>
      </c>
      <c r="E1079" s="19" t="s">
        <v>1857</v>
      </c>
      <c r="F1079" s="19" t="s">
        <v>483</v>
      </c>
      <c r="G1079" s="19" t="s">
        <v>483</v>
      </c>
      <c r="H1079" s="19" t="s">
        <v>1843</v>
      </c>
      <c r="I1079" s="19" t="s">
        <v>18</v>
      </c>
      <c r="J1079" s="19" t="s">
        <v>18</v>
      </c>
      <c r="K1079" s="19" t="s">
        <v>18</v>
      </c>
      <c r="L1079" s="19" t="s">
        <v>18</v>
      </c>
      <c r="M1079" s="19" t="s">
        <v>18</v>
      </c>
      <c r="N1079" s="19" t="s">
        <v>19</v>
      </c>
      <c r="O1079" s="19"/>
      <c r="P1079" s="19">
        <v>100.506944</v>
      </c>
      <c r="Q1079" s="19">
        <v>5.5572220000000003</v>
      </c>
      <c r="R1079" s="19" t="s">
        <v>41</v>
      </c>
      <c r="S1079" s="19"/>
    </row>
    <row r="1080" spans="1:19" hidden="1" x14ac:dyDescent="0.25">
      <c r="A1080" s="28">
        <v>5505052</v>
      </c>
      <c r="B1080" s="15" t="s">
        <v>1795</v>
      </c>
      <c r="C1080" s="19" t="s">
        <v>12</v>
      </c>
      <c r="D1080" s="21" t="s">
        <v>1782</v>
      </c>
      <c r="E1080" s="19" t="s">
        <v>1855</v>
      </c>
      <c r="F1080" s="19"/>
      <c r="G1080" s="19"/>
      <c r="H1080" s="19"/>
      <c r="I1080" s="19" t="s">
        <v>18</v>
      </c>
      <c r="J1080" s="19" t="s">
        <v>18</v>
      </c>
      <c r="K1080" s="19" t="s">
        <v>19</v>
      </c>
      <c r="L1080" s="19" t="s">
        <v>19</v>
      </c>
      <c r="M1080" s="19" t="s">
        <v>18</v>
      </c>
      <c r="N1080" s="19" t="s">
        <v>19</v>
      </c>
      <c r="O1080" s="19"/>
      <c r="P1080" s="19">
        <v>100.47750000000001</v>
      </c>
      <c r="Q1080" s="19">
        <v>5.213889</v>
      </c>
      <c r="R1080" s="19"/>
      <c r="S1080" s="19"/>
    </row>
    <row r="1081" spans="1:19" hidden="1" x14ac:dyDescent="0.25">
      <c r="A1081" s="29">
        <v>5505084</v>
      </c>
      <c r="B1081" s="25" t="s">
        <v>485</v>
      </c>
      <c r="C1081" s="26" t="s">
        <v>12</v>
      </c>
      <c r="D1081" s="24" t="s">
        <v>451</v>
      </c>
      <c r="E1081" s="26" t="s">
        <v>486</v>
      </c>
      <c r="F1081" s="26" t="s">
        <v>483</v>
      </c>
      <c r="G1081" s="26" t="s">
        <v>481</v>
      </c>
      <c r="H1081" s="26" t="s">
        <v>475</v>
      </c>
      <c r="I1081" s="26"/>
      <c r="J1081" s="26" t="s">
        <v>18</v>
      </c>
      <c r="K1081" s="26" t="s">
        <v>18</v>
      </c>
      <c r="L1081" s="26" t="s">
        <v>18</v>
      </c>
      <c r="M1081" s="26" t="s">
        <v>19</v>
      </c>
      <c r="N1081" s="26" t="s">
        <v>19</v>
      </c>
      <c r="O1081" s="26" t="s">
        <v>19</v>
      </c>
      <c r="P1081" s="26">
        <v>100.53749999999999</v>
      </c>
      <c r="Q1081" s="26">
        <v>5.5152780000000003</v>
      </c>
      <c r="R1081" s="26"/>
      <c r="S1081" s="26" t="s">
        <v>20</v>
      </c>
    </row>
    <row r="1082" spans="1:19" hidden="1" x14ac:dyDescent="0.25">
      <c r="A1082" s="29">
        <v>5506078</v>
      </c>
      <c r="B1082" s="25" t="s">
        <v>487</v>
      </c>
      <c r="C1082" s="26" t="s">
        <v>12</v>
      </c>
      <c r="D1082" s="24" t="s">
        <v>451</v>
      </c>
      <c r="E1082" s="26" t="s">
        <v>479</v>
      </c>
      <c r="F1082" s="26" t="s">
        <v>483</v>
      </c>
      <c r="G1082" s="26" t="s">
        <v>481</v>
      </c>
      <c r="H1082" s="26" t="s">
        <v>488</v>
      </c>
      <c r="I1082" s="26"/>
      <c r="J1082" s="26" t="s">
        <v>18</v>
      </c>
      <c r="K1082" s="26" t="s">
        <v>18</v>
      </c>
      <c r="L1082" s="26" t="s">
        <v>18</v>
      </c>
      <c r="M1082" s="26" t="s">
        <v>19</v>
      </c>
      <c r="N1082" s="26" t="s">
        <v>19</v>
      </c>
      <c r="O1082" s="26" t="s">
        <v>19</v>
      </c>
      <c r="P1082" s="26">
        <v>100.620833</v>
      </c>
      <c r="Q1082" s="26">
        <v>5.5680560000000003</v>
      </c>
      <c r="R1082" s="26"/>
      <c r="S1082" s="26" t="s">
        <v>41</v>
      </c>
    </row>
    <row r="1083" spans="1:19" hidden="1" x14ac:dyDescent="0.25">
      <c r="A1083" s="29">
        <v>5506082</v>
      </c>
      <c r="B1083" s="25" t="s">
        <v>489</v>
      </c>
      <c r="C1083" s="26" t="s">
        <v>12</v>
      </c>
      <c r="D1083" s="24" t="s">
        <v>451</v>
      </c>
      <c r="E1083" s="26" t="s">
        <v>479</v>
      </c>
      <c r="F1083" s="26" t="s">
        <v>483</v>
      </c>
      <c r="G1083" s="26" t="s">
        <v>481</v>
      </c>
      <c r="H1083" s="26" t="s">
        <v>490</v>
      </c>
      <c r="I1083" s="26"/>
      <c r="J1083" s="26" t="s">
        <v>18</v>
      </c>
      <c r="K1083" s="26" t="s">
        <v>18</v>
      </c>
      <c r="L1083" s="26" t="s">
        <v>18</v>
      </c>
      <c r="M1083" s="26" t="s">
        <v>19</v>
      </c>
      <c r="N1083" s="26" t="s">
        <v>19</v>
      </c>
      <c r="O1083" s="26" t="s">
        <v>19</v>
      </c>
      <c r="P1083" s="26">
        <v>100.623611</v>
      </c>
      <c r="Q1083" s="26">
        <v>5.5333329999999998</v>
      </c>
      <c r="R1083" s="26"/>
      <c r="S1083" s="26" t="s">
        <v>41</v>
      </c>
    </row>
    <row r="1084" spans="1:19" hidden="1" x14ac:dyDescent="0.25">
      <c r="A1084" s="29">
        <v>5507076</v>
      </c>
      <c r="B1084" s="25" t="s">
        <v>491</v>
      </c>
      <c r="C1084" s="26" t="s">
        <v>12</v>
      </c>
      <c r="D1084" s="24" t="s">
        <v>451</v>
      </c>
      <c r="E1084" s="26" t="s">
        <v>479</v>
      </c>
      <c r="F1084" s="26"/>
      <c r="G1084" s="26" t="s">
        <v>481</v>
      </c>
      <c r="H1084" s="26" t="s">
        <v>492</v>
      </c>
      <c r="I1084" s="26"/>
      <c r="J1084" s="26" t="s">
        <v>18</v>
      </c>
      <c r="K1084" s="26" t="s">
        <v>18</v>
      </c>
      <c r="L1084" s="26" t="s">
        <v>18</v>
      </c>
      <c r="M1084" s="26" t="s">
        <v>19</v>
      </c>
      <c r="N1084" s="26" t="s">
        <v>18</v>
      </c>
      <c r="O1084" s="26" t="s">
        <v>19</v>
      </c>
      <c r="P1084" s="26">
        <v>100.73611099999999</v>
      </c>
      <c r="Q1084" s="26">
        <v>5.5833329999999997</v>
      </c>
      <c r="R1084" s="26"/>
      <c r="S1084" s="26" t="s">
        <v>41</v>
      </c>
    </row>
    <row r="1085" spans="1:19" hidden="1" x14ac:dyDescent="0.25">
      <c r="A1085" s="29">
        <v>5507079</v>
      </c>
      <c r="B1085" s="25" t="s">
        <v>493</v>
      </c>
      <c r="C1085" s="26" t="s">
        <v>12</v>
      </c>
      <c r="D1085" s="24" t="s">
        <v>451</v>
      </c>
      <c r="E1085" s="26" t="s">
        <v>479</v>
      </c>
      <c r="F1085" s="26"/>
      <c r="G1085" s="26" t="s">
        <v>481</v>
      </c>
      <c r="H1085" s="26" t="s">
        <v>494</v>
      </c>
      <c r="I1085" s="26"/>
      <c r="J1085" s="26" t="s">
        <v>18</v>
      </c>
      <c r="K1085" s="26" t="s">
        <v>18</v>
      </c>
      <c r="L1085" s="26" t="s">
        <v>18</v>
      </c>
      <c r="M1085" s="26" t="s">
        <v>19</v>
      </c>
      <c r="N1085" s="26" t="s">
        <v>19</v>
      </c>
      <c r="O1085" s="26" t="s">
        <v>19</v>
      </c>
      <c r="P1085" s="26">
        <v>100.7375</v>
      </c>
      <c r="Q1085" s="26">
        <v>5.5083330000000004</v>
      </c>
      <c r="R1085" s="26"/>
      <c r="S1085" s="26" t="s">
        <v>20</v>
      </c>
    </row>
    <row r="1086" spans="1:19" x14ac:dyDescent="0.25">
      <c r="A1086" s="28">
        <v>5513001</v>
      </c>
      <c r="B1086" s="15" t="s">
        <v>965</v>
      </c>
      <c r="C1086" s="19" t="s">
        <v>12</v>
      </c>
      <c r="D1086" s="21" t="s">
        <v>633</v>
      </c>
      <c r="E1086" s="19" t="s">
        <v>956</v>
      </c>
      <c r="F1086" s="19" t="s">
        <v>633</v>
      </c>
      <c r="G1086" s="19" t="s">
        <v>633</v>
      </c>
      <c r="H1086" s="19"/>
      <c r="I1086" s="19"/>
      <c r="J1086" s="19" t="s">
        <v>19</v>
      </c>
      <c r="K1086" s="19" t="s">
        <v>18</v>
      </c>
      <c r="L1086" s="19" t="s">
        <v>19</v>
      </c>
      <c r="M1086" s="19" t="s">
        <v>18</v>
      </c>
      <c r="N1086" s="19" t="s">
        <v>19</v>
      </c>
      <c r="O1086" s="19" t="s">
        <v>19</v>
      </c>
      <c r="P1086" s="19">
        <v>101.352733</v>
      </c>
      <c r="Q1086" s="19">
        <v>5.550586</v>
      </c>
      <c r="R1086" s="19"/>
      <c r="S1086" s="19"/>
    </row>
    <row r="1087" spans="1:19" hidden="1" x14ac:dyDescent="0.25">
      <c r="A1087" s="28">
        <v>5518035</v>
      </c>
      <c r="B1087" s="15" t="s">
        <v>1033</v>
      </c>
      <c r="C1087" s="19" t="s">
        <v>12</v>
      </c>
      <c r="D1087" s="21" t="s">
        <v>976</v>
      </c>
      <c r="E1087" s="19" t="s">
        <v>1020</v>
      </c>
      <c r="F1087" s="19" t="s">
        <v>1021</v>
      </c>
      <c r="G1087" s="19"/>
      <c r="H1087" s="19" t="s">
        <v>1034</v>
      </c>
      <c r="I1087" s="19"/>
      <c r="J1087" s="19" t="s">
        <v>18</v>
      </c>
      <c r="K1087" s="19" t="s">
        <v>18</v>
      </c>
      <c r="L1087" s="19" t="s">
        <v>19</v>
      </c>
      <c r="M1087" s="19" t="s">
        <v>19</v>
      </c>
      <c r="N1087" s="19" t="s">
        <v>18</v>
      </c>
      <c r="O1087" s="19"/>
      <c r="P1087" s="19">
        <v>101.88888900000001</v>
      </c>
      <c r="Q1087" s="19">
        <v>5.5611110000000004</v>
      </c>
      <c r="R1087" s="19"/>
      <c r="S1087" s="19"/>
    </row>
    <row r="1088" spans="1:19" hidden="1" x14ac:dyDescent="0.25">
      <c r="A1088" s="28">
        <v>5520001</v>
      </c>
      <c r="B1088" s="15" t="s">
        <v>1035</v>
      </c>
      <c r="C1088" s="19" t="s">
        <v>12</v>
      </c>
      <c r="D1088" s="21" t="s">
        <v>976</v>
      </c>
      <c r="E1088" s="19" t="s">
        <v>1036</v>
      </c>
      <c r="F1088" s="19" t="s">
        <v>1037</v>
      </c>
      <c r="G1088" s="19" t="s">
        <v>976</v>
      </c>
      <c r="H1088" s="19" t="s">
        <v>1038</v>
      </c>
      <c r="I1088" s="19"/>
      <c r="J1088" s="19" t="s">
        <v>18</v>
      </c>
      <c r="K1088" s="19" t="s">
        <v>18</v>
      </c>
      <c r="L1088" s="19" t="s">
        <v>19</v>
      </c>
      <c r="M1088" s="19" t="s">
        <v>19</v>
      </c>
      <c r="N1088" s="19" t="s">
        <v>18</v>
      </c>
      <c r="O1088" s="19"/>
      <c r="P1088" s="19">
        <v>102.00833299999999</v>
      </c>
      <c r="Q1088" s="19">
        <v>5.5638889999999996</v>
      </c>
      <c r="R1088" s="19"/>
      <c r="S1088" s="19" t="s">
        <v>41</v>
      </c>
    </row>
    <row r="1089" spans="1:19" hidden="1" x14ac:dyDescent="0.25">
      <c r="A1089" s="28">
        <v>5521044</v>
      </c>
      <c r="B1089" s="15" t="s">
        <v>996</v>
      </c>
      <c r="C1089" s="19" t="s">
        <v>12</v>
      </c>
      <c r="D1089" s="21" t="s">
        <v>976</v>
      </c>
      <c r="E1089" s="19" t="s">
        <v>996</v>
      </c>
      <c r="F1089" s="19" t="s">
        <v>1012</v>
      </c>
      <c r="G1089" s="19" t="s">
        <v>1012</v>
      </c>
      <c r="H1089" s="19"/>
      <c r="I1089" s="19"/>
      <c r="J1089" s="19" t="s">
        <v>19</v>
      </c>
      <c r="K1089" s="19" t="s">
        <v>18</v>
      </c>
      <c r="L1089" s="19" t="s">
        <v>19</v>
      </c>
      <c r="M1089" s="19" t="s">
        <v>18</v>
      </c>
      <c r="N1089" s="19" t="s">
        <v>19</v>
      </c>
      <c r="O1089" s="19"/>
      <c r="P1089" s="19">
        <v>102.166667</v>
      </c>
      <c r="Q1089" s="19">
        <v>5.5333329999999998</v>
      </c>
      <c r="R1089" s="19"/>
      <c r="S1089" s="19"/>
    </row>
    <row r="1090" spans="1:19" hidden="1" x14ac:dyDescent="0.25">
      <c r="A1090" s="28">
        <v>5521049</v>
      </c>
      <c r="B1090" s="15" t="s">
        <v>1039</v>
      </c>
      <c r="C1090" s="19" t="s">
        <v>12</v>
      </c>
      <c r="D1090" s="21" t="s">
        <v>976</v>
      </c>
      <c r="E1090" s="19" t="s">
        <v>977</v>
      </c>
      <c r="F1090" s="19" t="s">
        <v>1040</v>
      </c>
      <c r="G1090" s="19" t="s">
        <v>976</v>
      </c>
      <c r="H1090" s="19" t="s">
        <v>1041</v>
      </c>
      <c r="I1090" s="19" t="s">
        <v>1042</v>
      </c>
      <c r="J1090" s="19" t="s">
        <v>19</v>
      </c>
      <c r="K1090" s="19" t="s">
        <v>19</v>
      </c>
      <c r="L1090" s="19" t="s">
        <v>18</v>
      </c>
      <c r="M1090" s="19" t="s">
        <v>19</v>
      </c>
      <c r="N1090" s="19" t="s">
        <v>19</v>
      </c>
      <c r="O1090" s="19"/>
      <c r="P1090" s="19">
        <v>102.180556</v>
      </c>
      <c r="Q1090" s="19">
        <v>5.5902779999999996</v>
      </c>
      <c r="R1090" s="19"/>
      <c r="S1090" s="19" t="s">
        <v>41</v>
      </c>
    </row>
    <row r="1091" spans="1:19" hidden="1" x14ac:dyDescent="0.25">
      <c r="A1091" s="28">
        <v>5521050</v>
      </c>
      <c r="B1091" s="15" t="s">
        <v>1043</v>
      </c>
      <c r="C1091" s="19" t="s">
        <v>12</v>
      </c>
      <c r="D1091" s="21" t="s">
        <v>976</v>
      </c>
      <c r="E1091" s="19" t="s">
        <v>996</v>
      </c>
      <c r="F1091" s="19" t="s">
        <v>1044</v>
      </c>
      <c r="G1091" s="19" t="s">
        <v>976</v>
      </c>
      <c r="H1091" s="19" t="s">
        <v>494</v>
      </c>
      <c r="I1091" s="19"/>
      <c r="J1091" s="19" t="s">
        <v>18</v>
      </c>
      <c r="K1091" s="19" t="s">
        <v>18</v>
      </c>
      <c r="L1091" s="19" t="s">
        <v>19</v>
      </c>
      <c r="M1091" s="19" t="s">
        <v>19</v>
      </c>
      <c r="N1091" s="19" t="s">
        <v>18</v>
      </c>
      <c r="O1091" s="19"/>
      <c r="P1091" s="19">
        <v>102.163889</v>
      </c>
      <c r="Q1091" s="19">
        <v>5.5708330000000004</v>
      </c>
      <c r="R1091" s="19"/>
      <c r="S1091" s="19" t="s">
        <v>20</v>
      </c>
    </row>
    <row r="1092" spans="1:19" hidden="1" x14ac:dyDescent="0.25">
      <c r="A1092" s="28">
        <v>5522047</v>
      </c>
      <c r="B1092" s="15" t="s">
        <v>1045</v>
      </c>
      <c r="C1092" s="19" t="s">
        <v>12</v>
      </c>
      <c r="D1092" s="21" t="s">
        <v>976</v>
      </c>
      <c r="E1092" s="19" t="s">
        <v>996</v>
      </c>
      <c r="F1092" s="19" t="s">
        <v>1012</v>
      </c>
      <c r="G1092" s="19" t="s">
        <v>976</v>
      </c>
      <c r="H1092" s="19" t="s">
        <v>1046</v>
      </c>
      <c r="I1092" s="19"/>
      <c r="J1092" s="19" t="s">
        <v>18</v>
      </c>
      <c r="K1092" s="19" t="s">
        <v>18</v>
      </c>
      <c r="L1092" s="19" t="s">
        <v>19</v>
      </c>
      <c r="M1092" s="19" t="s">
        <v>19</v>
      </c>
      <c r="N1092" s="19" t="s">
        <v>18</v>
      </c>
      <c r="O1092" s="19"/>
      <c r="P1092" s="19">
        <v>102.202778</v>
      </c>
      <c r="Q1092" s="19">
        <v>5.5319440000000002</v>
      </c>
      <c r="R1092" s="19"/>
      <c r="S1092" s="19" t="s">
        <v>41</v>
      </c>
    </row>
    <row r="1093" spans="1:19" hidden="1" x14ac:dyDescent="0.25">
      <c r="A1093" s="29">
        <v>5524001</v>
      </c>
      <c r="B1093" s="25" t="s">
        <v>1982</v>
      </c>
      <c r="C1093" s="26" t="s">
        <v>12</v>
      </c>
      <c r="D1093" s="24" t="s">
        <v>1865</v>
      </c>
      <c r="E1093" s="26" t="s">
        <v>1972</v>
      </c>
      <c r="F1093" s="26" t="s">
        <v>1973</v>
      </c>
      <c r="G1093" s="26" t="s">
        <v>1973</v>
      </c>
      <c r="H1093" s="26" t="s">
        <v>1983</v>
      </c>
      <c r="I1093" s="26"/>
      <c r="J1093" s="26" t="s">
        <v>18</v>
      </c>
      <c r="K1093" s="26" t="s">
        <v>18</v>
      </c>
      <c r="L1093" s="26" t="s">
        <v>19</v>
      </c>
      <c r="M1093" s="26" t="s">
        <v>18</v>
      </c>
      <c r="N1093" s="26" t="s">
        <v>18</v>
      </c>
      <c r="O1093" s="26" t="s">
        <v>19</v>
      </c>
      <c r="P1093" s="26">
        <v>102.483333</v>
      </c>
      <c r="Q1093" s="26">
        <v>5.5305559999999998</v>
      </c>
      <c r="R1093" s="26" t="s">
        <v>41</v>
      </c>
      <c r="S1093" s="26" t="s">
        <v>1870</v>
      </c>
    </row>
    <row r="1094" spans="1:19" hidden="1" x14ac:dyDescent="0.25">
      <c r="A1094" s="29">
        <v>5524002</v>
      </c>
      <c r="B1094" s="25" t="s">
        <v>1984</v>
      </c>
      <c r="C1094" s="26" t="s">
        <v>12</v>
      </c>
      <c r="D1094" s="24" t="s">
        <v>1865</v>
      </c>
      <c r="E1094" s="26" t="s">
        <v>1972</v>
      </c>
      <c r="F1094" s="26" t="s">
        <v>1985</v>
      </c>
      <c r="G1094" s="26" t="s">
        <v>1972</v>
      </c>
      <c r="H1094" s="26" t="s">
        <v>1048</v>
      </c>
      <c r="I1094" s="26" t="s">
        <v>820</v>
      </c>
      <c r="J1094" s="26" t="s">
        <v>19</v>
      </c>
      <c r="K1094" s="26" t="s">
        <v>19</v>
      </c>
      <c r="L1094" s="26" t="s">
        <v>19</v>
      </c>
      <c r="M1094" s="26" t="s">
        <v>19</v>
      </c>
      <c r="N1094" s="26" t="s">
        <v>19</v>
      </c>
      <c r="O1094" s="26" t="s">
        <v>19</v>
      </c>
      <c r="P1094" s="26">
        <v>102.488889</v>
      </c>
      <c r="Q1094" s="26">
        <v>5.5402779999999998</v>
      </c>
      <c r="R1094" s="26" t="s">
        <v>41</v>
      </c>
      <c r="S1094" s="26" t="s">
        <v>1870</v>
      </c>
    </row>
    <row r="1095" spans="1:19" hidden="1" x14ac:dyDescent="0.25">
      <c r="A1095" s="29">
        <v>5524003</v>
      </c>
      <c r="B1095" s="25" t="s">
        <v>1986</v>
      </c>
      <c r="C1095" s="26" t="s">
        <v>12</v>
      </c>
      <c r="D1095" s="24" t="s">
        <v>1865</v>
      </c>
      <c r="E1095" s="26" t="s">
        <v>1972</v>
      </c>
      <c r="F1095" s="26" t="s">
        <v>1985</v>
      </c>
      <c r="G1095" s="26" t="s">
        <v>1972</v>
      </c>
      <c r="H1095" s="26" t="s">
        <v>1913</v>
      </c>
      <c r="I1095" s="26" t="s">
        <v>533</v>
      </c>
      <c r="J1095" s="26" t="s">
        <v>19</v>
      </c>
      <c r="K1095" s="26" t="s">
        <v>19</v>
      </c>
      <c r="L1095" s="26" t="s">
        <v>18</v>
      </c>
      <c r="M1095" s="26" t="s">
        <v>19</v>
      </c>
      <c r="N1095" s="26" t="s">
        <v>19</v>
      </c>
      <c r="O1095" s="26" t="s">
        <v>19</v>
      </c>
      <c r="P1095" s="26">
        <v>102.488889</v>
      </c>
      <c r="Q1095" s="26">
        <v>5.5402779999999998</v>
      </c>
      <c r="R1095" s="26"/>
      <c r="S1095" s="26" t="s">
        <v>1870</v>
      </c>
    </row>
    <row r="1096" spans="1:19" hidden="1" x14ac:dyDescent="0.25">
      <c r="A1096" s="29">
        <v>5527001</v>
      </c>
      <c r="B1096" s="25" t="s">
        <v>1987</v>
      </c>
      <c r="C1096" s="26" t="s">
        <v>12</v>
      </c>
      <c r="D1096" s="24" t="s">
        <v>1865</v>
      </c>
      <c r="E1096" s="26" t="s">
        <v>1898</v>
      </c>
      <c r="F1096" s="26"/>
      <c r="G1096" s="26" t="s">
        <v>1898</v>
      </c>
      <c r="H1096" s="26" t="s">
        <v>1988</v>
      </c>
      <c r="I1096" s="26"/>
      <c r="J1096" s="26" t="s">
        <v>18</v>
      </c>
      <c r="K1096" s="26" t="s">
        <v>18</v>
      </c>
      <c r="L1096" s="26" t="s">
        <v>19</v>
      </c>
      <c r="M1096" s="26" t="s">
        <v>19</v>
      </c>
      <c r="N1096" s="26" t="s">
        <v>18</v>
      </c>
      <c r="O1096" s="26" t="s">
        <v>19</v>
      </c>
      <c r="P1096" s="26">
        <v>102.231644</v>
      </c>
      <c r="Q1096" s="26">
        <v>5.5331279999999996</v>
      </c>
      <c r="R1096" s="26" t="s">
        <v>41</v>
      </c>
      <c r="S1096" s="26" t="s">
        <v>1870</v>
      </c>
    </row>
    <row r="1097" spans="1:19" hidden="1" x14ac:dyDescent="0.25">
      <c r="A1097" s="29">
        <v>5527021</v>
      </c>
      <c r="B1097" s="25" t="s">
        <v>1989</v>
      </c>
      <c r="C1097" s="26" t="s">
        <v>12</v>
      </c>
      <c r="D1097" s="24" t="s">
        <v>1865</v>
      </c>
      <c r="E1097" s="26" t="s">
        <v>1898</v>
      </c>
      <c r="F1097" s="26" t="s">
        <v>1900</v>
      </c>
      <c r="G1097" s="26" t="s">
        <v>1898</v>
      </c>
      <c r="H1097" s="26" t="s">
        <v>471</v>
      </c>
      <c r="I1097" s="26" t="s">
        <v>1990</v>
      </c>
      <c r="J1097" s="26" t="s">
        <v>19</v>
      </c>
      <c r="K1097" s="26" t="s">
        <v>19</v>
      </c>
      <c r="L1097" s="26" t="s">
        <v>18</v>
      </c>
      <c r="M1097" s="26" t="s">
        <v>19</v>
      </c>
      <c r="N1097" s="26" t="s">
        <v>19</v>
      </c>
      <c r="O1097" s="26" t="s">
        <v>19</v>
      </c>
      <c r="P1097" s="26">
        <v>102.70694399999999</v>
      </c>
      <c r="Q1097" s="26">
        <v>5.5875000000000004</v>
      </c>
      <c r="R1097" s="26" t="s">
        <v>41</v>
      </c>
      <c r="S1097" s="26" t="s">
        <v>1870</v>
      </c>
    </row>
    <row r="1098" spans="1:19" hidden="1" x14ac:dyDescent="0.25">
      <c r="A1098" s="29">
        <v>5527023</v>
      </c>
      <c r="B1098" s="25" t="s">
        <v>1991</v>
      </c>
      <c r="C1098" s="26" t="s">
        <v>12</v>
      </c>
      <c r="D1098" s="24" t="s">
        <v>1865</v>
      </c>
      <c r="E1098" s="26" t="s">
        <v>1898</v>
      </c>
      <c r="F1098" s="26"/>
      <c r="G1098" s="26" t="s">
        <v>1898</v>
      </c>
      <c r="H1098" s="26" t="s">
        <v>529</v>
      </c>
      <c r="I1098" s="26" t="s">
        <v>1608</v>
      </c>
      <c r="J1098" s="26" t="s">
        <v>19</v>
      </c>
      <c r="K1098" s="26" t="s">
        <v>19</v>
      </c>
      <c r="L1098" s="26" t="s">
        <v>19</v>
      </c>
      <c r="M1098" s="26" t="s">
        <v>19</v>
      </c>
      <c r="N1098" s="26" t="s">
        <v>18</v>
      </c>
      <c r="O1098" s="26" t="s">
        <v>19</v>
      </c>
      <c r="P1098" s="26">
        <v>102.744444</v>
      </c>
      <c r="Q1098" s="26">
        <v>5.5222220000000002</v>
      </c>
      <c r="R1098" s="26" t="s">
        <v>472</v>
      </c>
      <c r="S1098" s="26" t="s">
        <v>1870</v>
      </c>
    </row>
    <row r="1099" spans="1:19" ht="30" hidden="1" x14ac:dyDescent="0.25">
      <c r="A1099" s="29">
        <v>5527024</v>
      </c>
      <c r="B1099" s="25" t="s">
        <v>1992</v>
      </c>
      <c r="C1099" s="26" t="s">
        <v>12</v>
      </c>
      <c r="D1099" s="24" t="s">
        <v>1865</v>
      </c>
      <c r="E1099" s="26" t="s">
        <v>1898</v>
      </c>
      <c r="F1099" s="26"/>
      <c r="G1099" s="26" t="s">
        <v>1898</v>
      </c>
      <c r="H1099" s="26" t="s">
        <v>1886</v>
      </c>
      <c r="I1099" s="26"/>
      <c r="J1099" s="26" t="s">
        <v>18</v>
      </c>
      <c r="K1099" s="26" t="s">
        <v>18</v>
      </c>
      <c r="L1099" s="26" t="s">
        <v>19</v>
      </c>
      <c r="M1099" s="26" t="s">
        <v>19</v>
      </c>
      <c r="N1099" s="26" t="s">
        <v>18</v>
      </c>
      <c r="O1099" s="26" t="s">
        <v>19</v>
      </c>
      <c r="P1099" s="26">
        <v>102.772222</v>
      </c>
      <c r="Q1099" s="26">
        <v>5.5611110000000004</v>
      </c>
      <c r="R1099" s="26" t="s">
        <v>472</v>
      </c>
      <c r="S1099" s="26" t="s">
        <v>1870</v>
      </c>
    </row>
    <row r="1100" spans="1:19" hidden="1" x14ac:dyDescent="0.25">
      <c r="A1100" s="29">
        <v>5529027</v>
      </c>
      <c r="B1100" s="25" t="s">
        <v>1993</v>
      </c>
      <c r="C1100" s="26" t="s">
        <v>12</v>
      </c>
      <c r="D1100" s="24" t="s">
        <v>1865</v>
      </c>
      <c r="E1100" s="26" t="s">
        <v>1898</v>
      </c>
      <c r="F1100" s="26"/>
      <c r="G1100" s="26" t="s">
        <v>1898</v>
      </c>
      <c r="H1100" s="26" t="s">
        <v>1081</v>
      </c>
      <c r="I1100" s="26"/>
      <c r="J1100" s="26" t="s">
        <v>18</v>
      </c>
      <c r="K1100" s="26" t="s">
        <v>18</v>
      </c>
      <c r="L1100" s="26" t="s">
        <v>19</v>
      </c>
      <c r="M1100" s="26" t="s">
        <v>19</v>
      </c>
      <c r="N1100" s="26" t="s">
        <v>18</v>
      </c>
      <c r="O1100" s="26" t="s">
        <v>19</v>
      </c>
      <c r="P1100" s="26">
        <v>102.95138900000001</v>
      </c>
      <c r="Q1100" s="26">
        <v>5.5319440000000002</v>
      </c>
      <c r="R1100" s="26" t="s">
        <v>41</v>
      </c>
      <c r="S1100" s="26" t="s">
        <v>1870</v>
      </c>
    </row>
    <row r="1101" spans="1:19" hidden="1" x14ac:dyDescent="0.25">
      <c r="A1101" s="29">
        <v>5604001</v>
      </c>
      <c r="B1101" s="25" t="s">
        <v>495</v>
      </c>
      <c r="C1101" s="26" t="s">
        <v>12</v>
      </c>
      <c r="D1101" s="24" t="s">
        <v>451</v>
      </c>
      <c r="E1101" s="26" t="s">
        <v>486</v>
      </c>
      <c r="F1101" s="26" t="s">
        <v>496</v>
      </c>
      <c r="G1101" s="26" t="s">
        <v>497</v>
      </c>
      <c r="H1101" s="26" t="s">
        <v>469</v>
      </c>
      <c r="I1101" s="26" t="s">
        <v>498</v>
      </c>
      <c r="J1101" s="26" t="s">
        <v>19</v>
      </c>
      <c r="K1101" s="26" t="s">
        <v>19</v>
      </c>
      <c r="L1101" s="26" t="s">
        <v>18</v>
      </c>
      <c r="M1101" s="26" t="s">
        <v>19</v>
      </c>
      <c r="N1101" s="26" t="s">
        <v>19</v>
      </c>
      <c r="O1101" s="26" t="s">
        <v>19</v>
      </c>
      <c r="P1101" s="26">
        <v>100.484722</v>
      </c>
      <c r="Q1101" s="26">
        <v>5.641667</v>
      </c>
      <c r="R1101" s="26"/>
      <c r="S1101" s="26" t="s">
        <v>41</v>
      </c>
    </row>
    <row r="1102" spans="1:19" ht="30" hidden="1" x14ac:dyDescent="0.25">
      <c r="A1102" s="29">
        <v>5604002</v>
      </c>
      <c r="B1102" s="25" t="s">
        <v>2632</v>
      </c>
      <c r="C1102" s="26" t="s">
        <v>12</v>
      </c>
      <c r="D1102" s="24" t="s">
        <v>451</v>
      </c>
      <c r="E1102" s="26" t="s">
        <v>486</v>
      </c>
      <c r="F1102" s="26" t="s">
        <v>496</v>
      </c>
      <c r="G1102" s="26" t="s">
        <v>497</v>
      </c>
      <c r="H1102" s="26" t="s">
        <v>498</v>
      </c>
      <c r="I1102" s="26"/>
      <c r="J1102" s="26" t="s">
        <v>18</v>
      </c>
      <c r="K1102" s="26" t="s">
        <v>18</v>
      </c>
      <c r="L1102" s="26" t="s">
        <v>18</v>
      </c>
      <c r="M1102" s="26" t="s">
        <v>19</v>
      </c>
      <c r="N1102" s="26" t="s">
        <v>19</v>
      </c>
      <c r="O1102" s="26" t="s">
        <v>19</v>
      </c>
      <c r="P1102" s="26">
        <v>100.494444</v>
      </c>
      <c r="Q1102" s="26">
        <v>5.6291669999999998</v>
      </c>
      <c r="R1102" s="26"/>
      <c r="S1102" s="26" t="s">
        <v>41</v>
      </c>
    </row>
    <row r="1103" spans="1:19" hidden="1" x14ac:dyDescent="0.25">
      <c r="A1103" s="29">
        <v>5604059</v>
      </c>
      <c r="B1103" s="25" t="s">
        <v>499</v>
      </c>
      <c r="C1103" s="26" t="s">
        <v>12</v>
      </c>
      <c r="D1103" s="24" t="s">
        <v>451</v>
      </c>
      <c r="E1103" s="26" t="s">
        <v>486</v>
      </c>
      <c r="F1103" s="26" t="s">
        <v>496</v>
      </c>
      <c r="G1103" s="26" t="s">
        <v>497</v>
      </c>
      <c r="H1103" s="26" t="s">
        <v>142</v>
      </c>
      <c r="I1103" s="26" t="s">
        <v>500</v>
      </c>
      <c r="J1103" s="26" t="s">
        <v>19</v>
      </c>
      <c r="K1103" s="26" t="s">
        <v>19</v>
      </c>
      <c r="L1103" s="26" t="s">
        <v>18</v>
      </c>
      <c r="M1103" s="26" t="s">
        <v>19</v>
      </c>
      <c r="N1103" s="26" t="s">
        <v>19</v>
      </c>
      <c r="O1103" s="26" t="s">
        <v>19</v>
      </c>
      <c r="P1103" s="26">
        <v>100.498611</v>
      </c>
      <c r="Q1103" s="26">
        <v>5.65</v>
      </c>
      <c r="R1103" s="26"/>
      <c r="S1103" s="26" t="s">
        <v>279</v>
      </c>
    </row>
    <row r="1104" spans="1:19" hidden="1" x14ac:dyDescent="0.25">
      <c r="A1104" s="29">
        <v>5606076</v>
      </c>
      <c r="B1104" s="25" t="s">
        <v>501</v>
      </c>
      <c r="C1104" s="26" t="s">
        <v>12</v>
      </c>
      <c r="D1104" s="24" t="s">
        <v>451</v>
      </c>
      <c r="E1104" s="26" t="s">
        <v>486</v>
      </c>
      <c r="F1104" s="26" t="s">
        <v>502</v>
      </c>
      <c r="G1104" s="26" t="s">
        <v>502</v>
      </c>
      <c r="H1104" s="26"/>
      <c r="I1104" s="26"/>
      <c r="J1104" s="26" t="s">
        <v>19</v>
      </c>
      <c r="K1104" s="26" t="s">
        <v>18</v>
      </c>
      <c r="L1104" s="26" t="s">
        <v>19</v>
      </c>
      <c r="M1104" s="26" t="s">
        <v>18</v>
      </c>
      <c r="N1104" s="26" t="s">
        <v>19</v>
      </c>
      <c r="O1104" s="26" t="s">
        <v>19</v>
      </c>
      <c r="P1104" s="26">
        <v>100.625361</v>
      </c>
      <c r="Q1104" s="26">
        <v>5.6092779999999998</v>
      </c>
      <c r="R1104" s="26"/>
      <c r="S1104" s="26"/>
    </row>
    <row r="1105" spans="1:19" hidden="1" x14ac:dyDescent="0.25">
      <c r="A1105" s="29">
        <v>5606077</v>
      </c>
      <c r="B1105" s="25" t="s">
        <v>503</v>
      </c>
      <c r="C1105" s="26" t="s">
        <v>12</v>
      </c>
      <c r="D1105" s="24" t="s">
        <v>451</v>
      </c>
      <c r="E1105" s="26" t="s">
        <v>486</v>
      </c>
      <c r="F1105" s="26" t="s">
        <v>496</v>
      </c>
      <c r="G1105" s="26" t="s">
        <v>497</v>
      </c>
      <c r="H1105" s="26" t="s">
        <v>477</v>
      </c>
      <c r="I1105" s="26"/>
      <c r="J1105" s="26" t="s">
        <v>18</v>
      </c>
      <c r="K1105" s="26" t="s">
        <v>18</v>
      </c>
      <c r="L1105" s="26" t="s">
        <v>18</v>
      </c>
      <c r="M1105" s="26" t="s">
        <v>19</v>
      </c>
      <c r="N1105" s="26" t="s">
        <v>19</v>
      </c>
      <c r="O1105" s="26" t="s">
        <v>19</v>
      </c>
      <c r="P1105" s="26">
        <v>100.648611</v>
      </c>
      <c r="Q1105" s="26">
        <v>5.641667</v>
      </c>
      <c r="R1105" s="26"/>
      <c r="S1105" s="26" t="s">
        <v>20</v>
      </c>
    </row>
    <row r="1106" spans="1:19" hidden="1" x14ac:dyDescent="0.25">
      <c r="A1106" s="29">
        <v>5608073</v>
      </c>
      <c r="B1106" s="25" t="s">
        <v>504</v>
      </c>
      <c r="C1106" s="26" t="s">
        <v>12</v>
      </c>
      <c r="D1106" s="24" t="s">
        <v>451</v>
      </c>
      <c r="E1106" s="26" t="s">
        <v>479</v>
      </c>
      <c r="F1106" s="26" t="s">
        <v>505</v>
      </c>
      <c r="G1106" s="26" t="s">
        <v>502</v>
      </c>
      <c r="H1106" s="26"/>
      <c r="I1106" s="26"/>
      <c r="J1106" s="26" t="s">
        <v>19</v>
      </c>
      <c r="K1106" s="26" t="s">
        <v>18</v>
      </c>
      <c r="L1106" s="26" t="s">
        <v>19</v>
      </c>
      <c r="M1106" s="26" t="s">
        <v>18</v>
      </c>
      <c r="N1106" s="26" t="s">
        <v>19</v>
      </c>
      <c r="O1106" s="26" t="s">
        <v>19</v>
      </c>
      <c r="P1106" s="26">
        <v>100.810333</v>
      </c>
      <c r="Q1106" s="26">
        <v>5.6381829999999997</v>
      </c>
      <c r="R1106" s="26"/>
      <c r="S1106" s="26"/>
    </row>
    <row r="1107" spans="1:19" hidden="1" x14ac:dyDescent="0.25">
      <c r="A1107" s="29">
        <v>5608074</v>
      </c>
      <c r="B1107" s="25" t="s">
        <v>506</v>
      </c>
      <c r="C1107" s="26" t="s">
        <v>12</v>
      </c>
      <c r="D1107" s="24" t="s">
        <v>451</v>
      </c>
      <c r="E1107" s="26" t="s">
        <v>479</v>
      </c>
      <c r="F1107" s="26"/>
      <c r="G1107" s="26" t="s">
        <v>481</v>
      </c>
      <c r="H1107" s="26" t="s">
        <v>507</v>
      </c>
      <c r="I1107" s="26"/>
      <c r="J1107" s="26" t="s">
        <v>18</v>
      </c>
      <c r="K1107" s="26" t="s">
        <v>18</v>
      </c>
      <c r="L1107" s="26" t="s">
        <v>18</v>
      </c>
      <c r="M1107" s="26" t="s">
        <v>19</v>
      </c>
      <c r="N1107" s="26" t="s">
        <v>19</v>
      </c>
      <c r="O1107" s="26" t="s">
        <v>19</v>
      </c>
      <c r="P1107" s="26">
        <v>100.898611</v>
      </c>
      <c r="Q1107" s="26">
        <v>5.6569440000000002</v>
      </c>
      <c r="R1107" s="26"/>
      <c r="S1107" s="26" t="s">
        <v>41</v>
      </c>
    </row>
    <row r="1108" spans="1:19" hidden="1" x14ac:dyDescent="0.25">
      <c r="A1108" s="29">
        <v>5609072</v>
      </c>
      <c r="B1108" s="25" t="s">
        <v>508</v>
      </c>
      <c r="C1108" s="26" t="s">
        <v>12</v>
      </c>
      <c r="D1108" s="24" t="s">
        <v>451</v>
      </c>
      <c r="E1108" s="26" t="s">
        <v>479</v>
      </c>
      <c r="F1108" s="26"/>
      <c r="G1108" s="26" t="s">
        <v>481</v>
      </c>
      <c r="H1108" s="26" t="s">
        <v>332</v>
      </c>
      <c r="I1108" s="26"/>
      <c r="J1108" s="26" t="s">
        <v>19</v>
      </c>
      <c r="K1108" s="26" t="s">
        <v>18</v>
      </c>
      <c r="L1108" s="26" t="s">
        <v>18</v>
      </c>
      <c r="M1108" s="26" t="s">
        <v>19</v>
      </c>
      <c r="N1108" s="26" t="s">
        <v>19</v>
      </c>
      <c r="O1108" s="26" t="s">
        <v>19</v>
      </c>
      <c r="P1108" s="26">
        <v>100.916667</v>
      </c>
      <c r="Q1108" s="26">
        <v>5.6805560000000002</v>
      </c>
      <c r="R1108" s="26"/>
      <c r="S1108" s="26" t="s">
        <v>41</v>
      </c>
    </row>
    <row r="1109" spans="1:19" hidden="1" x14ac:dyDescent="0.25">
      <c r="A1109" s="29">
        <v>5609073</v>
      </c>
      <c r="B1109" s="25" t="s">
        <v>509</v>
      </c>
      <c r="C1109" s="26" t="s">
        <v>12</v>
      </c>
      <c r="D1109" s="24" t="s">
        <v>451</v>
      </c>
      <c r="E1109" s="26" t="s">
        <v>486</v>
      </c>
      <c r="F1109" s="26"/>
      <c r="G1109" s="26" t="s">
        <v>481</v>
      </c>
      <c r="H1109" s="26" t="s">
        <v>386</v>
      </c>
      <c r="I1109" s="26" t="s">
        <v>510</v>
      </c>
      <c r="J1109" s="26" t="s">
        <v>19</v>
      </c>
      <c r="K1109" s="26" t="s">
        <v>19</v>
      </c>
      <c r="L1109" s="26" t="s">
        <v>18</v>
      </c>
      <c r="M1109" s="26" t="s">
        <v>19</v>
      </c>
      <c r="N1109" s="26" t="s">
        <v>19</v>
      </c>
      <c r="O1109" s="26" t="s">
        <v>19</v>
      </c>
      <c r="P1109" s="26">
        <v>100.922222</v>
      </c>
      <c r="Q1109" s="26">
        <v>5.6736110000000002</v>
      </c>
      <c r="R1109" s="26"/>
      <c r="S1109" s="26" t="s">
        <v>164</v>
      </c>
    </row>
    <row r="1110" spans="1:19" hidden="1" x14ac:dyDescent="0.25">
      <c r="A1110" s="29">
        <v>5609074</v>
      </c>
      <c r="B1110" s="25" t="s">
        <v>506</v>
      </c>
      <c r="C1110" s="26" t="s">
        <v>12</v>
      </c>
      <c r="D1110" s="24" t="s">
        <v>451</v>
      </c>
      <c r="E1110" s="26" t="s">
        <v>486</v>
      </c>
      <c r="F1110" s="26" t="s">
        <v>505</v>
      </c>
      <c r="G1110" s="26" t="s">
        <v>502</v>
      </c>
      <c r="H1110" s="26"/>
      <c r="I1110" s="26"/>
      <c r="J1110" s="26" t="s">
        <v>19</v>
      </c>
      <c r="K1110" s="26" t="s">
        <v>18</v>
      </c>
      <c r="L1110" s="26" t="s">
        <v>19</v>
      </c>
      <c r="M1110" s="26" t="s">
        <v>18</v>
      </c>
      <c r="N1110" s="26" t="s">
        <v>19</v>
      </c>
      <c r="O1110" s="26" t="s">
        <v>19</v>
      </c>
      <c r="P1110" s="26">
        <v>100.91500000000001</v>
      </c>
      <c r="Q1110" s="26">
        <v>5.6750280000000002</v>
      </c>
      <c r="R1110" s="26"/>
      <c r="S1110" s="26"/>
    </row>
    <row r="1111" spans="1:19" x14ac:dyDescent="0.25">
      <c r="A1111" s="28">
        <v>5610062</v>
      </c>
      <c r="B1111" s="15" t="s">
        <v>966</v>
      </c>
      <c r="C1111" s="19" t="s">
        <v>12</v>
      </c>
      <c r="D1111" s="21" t="s">
        <v>633</v>
      </c>
      <c r="E1111" s="19" t="s">
        <v>956</v>
      </c>
      <c r="F1111" s="19" t="s">
        <v>967</v>
      </c>
      <c r="G1111" s="19" t="s">
        <v>648</v>
      </c>
      <c r="H1111" s="19" t="s">
        <v>968</v>
      </c>
      <c r="I1111" s="19" t="s">
        <v>969</v>
      </c>
      <c r="J1111" s="19" t="s">
        <v>19</v>
      </c>
      <c r="K1111" s="19" t="s">
        <v>19</v>
      </c>
      <c r="L1111" s="19" t="s">
        <v>18</v>
      </c>
      <c r="M1111" s="19" t="s">
        <v>19</v>
      </c>
      <c r="N1111" s="19" t="s">
        <v>19</v>
      </c>
      <c r="O1111" s="19" t="s">
        <v>19</v>
      </c>
      <c r="P1111" s="19">
        <v>101.02500000000001</v>
      </c>
      <c r="Q1111" s="19">
        <v>5.6361109999999996</v>
      </c>
      <c r="R1111" s="19"/>
      <c r="S1111" s="19" t="s">
        <v>279</v>
      </c>
    </row>
    <row r="1112" spans="1:19" x14ac:dyDescent="0.25">
      <c r="A1112" s="28">
        <v>5610063</v>
      </c>
      <c r="B1112" s="15" t="s">
        <v>970</v>
      </c>
      <c r="C1112" s="19" t="s">
        <v>12</v>
      </c>
      <c r="D1112" s="21" t="s">
        <v>633</v>
      </c>
      <c r="E1112" s="19" t="s">
        <v>956</v>
      </c>
      <c r="F1112" s="19" t="s">
        <v>967</v>
      </c>
      <c r="G1112" s="19" t="s">
        <v>648</v>
      </c>
      <c r="H1112" s="19" t="s">
        <v>971</v>
      </c>
      <c r="I1112" s="19"/>
      <c r="J1112" s="19" t="s">
        <v>18</v>
      </c>
      <c r="K1112" s="19" t="s">
        <v>18</v>
      </c>
      <c r="L1112" s="19" t="s">
        <v>19</v>
      </c>
      <c r="M1112" s="19" t="s">
        <v>18</v>
      </c>
      <c r="N1112" s="19" t="s">
        <v>18</v>
      </c>
      <c r="O1112" s="19" t="s">
        <v>19</v>
      </c>
      <c r="P1112" s="19">
        <v>101.080556</v>
      </c>
      <c r="Q1112" s="19">
        <v>5.6041670000000003</v>
      </c>
      <c r="R1112" s="19"/>
      <c r="S1112" s="19" t="s">
        <v>41</v>
      </c>
    </row>
    <row r="1113" spans="1:19" hidden="1" x14ac:dyDescent="0.25">
      <c r="A1113" s="28">
        <v>5618033</v>
      </c>
      <c r="B1113" s="15" t="s">
        <v>1047</v>
      </c>
      <c r="C1113" s="19" t="s">
        <v>12</v>
      </c>
      <c r="D1113" s="21" t="s">
        <v>976</v>
      </c>
      <c r="E1113" s="19" t="s">
        <v>1020</v>
      </c>
      <c r="F1113" s="19" t="s">
        <v>1021</v>
      </c>
      <c r="G1113" s="19" t="s">
        <v>976</v>
      </c>
      <c r="H1113" s="19" t="s">
        <v>1048</v>
      </c>
      <c r="I1113" s="19" t="s">
        <v>971</v>
      </c>
      <c r="J1113" s="19" t="s">
        <v>19</v>
      </c>
      <c r="K1113" s="19" t="s">
        <v>19</v>
      </c>
      <c r="L1113" s="19" t="s">
        <v>18</v>
      </c>
      <c r="M1113" s="19" t="s">
        <v>19</v>
      </c>
      <c r="N1113" s="19" t="s">
        <v>19</v>
      </c>
      <c r="O1113" s="19"/>
      <c r="P1113" s="19">
        <v>101.836111</v>
      </c>
      <c r="Q1113" s="19">
        <v>5.6986109999999996</v>
      </c>
      <c r="R1113" s="19"/>
      <c r="S1113" s="19" t="s">
        <v>41</v>
      </c>
    </row>
    <row r="1114" spans="1:19" hidden="1" x14ac:dyDescent="0.25">
      <c r="A1114" s="28">
        <v>5621051</v>
      </c>
      <c r="B1114" s="15" t="s">
        <v>1049</v>
      </c>
      <c r="C1114" s="19" t="s">
        <v>12</v>
      </c>
      <c r="D1114" s="21" t="s">
        <v>976</v>
      </c>
      <c r="E1114" s="19" t="s">
        <v>1036</v>
      </c>
      <c r="F1114" s="19" t="s">
        <v>1037</v>
      </c>
      <c r="G1114" s="19" t="s">
        <v>976</v>
      </c>
      <c r="H1114" s="19" t="s">
        <v>1050</v>
      </c>
      <c r="I1114" s="19"/>
      <c r="J1114" s="19" t="s">
        <v>18</v>
      </c>
      <c r="K1114" s="19" t="s">
        <v>18</v>
      </c>
      <c r="L1114" s="19" t="s">
        <v>19</v>
      </c>
      <c r="M1114" s="19" t="s">
        <v>19</v>
      </c>
      <c r="N1114" s="19" t="s">
        <v>18</v>
      </c>
      <c r="O1114" s="19"/>
      <c r="P1114" s="19">
        <v>102.11666700000001</v>
      </c>
      <c r="Q1114" s="19">
        <v>5.6263889999999996</v>
      </c>
      <c r="R1114" s="19"/>
      <c r="S1114" s="19" t="s">
        <v>20</v>
      </c>
    </row>
    <row r="1115" spans="1:19" hidden="1" x14ac:dyDescent="0.25">
      <c r="A1115" s="28">
        <v>5621052</v>
      </c>
      <c r="B1115" s="15" t="s">
        <v>1051</v>
      </c>
      <c r="C1115" s="19" t="s">
        <v>12</v>
      </c>
      <c r="D1115" s="21" t="s">
        <v>976</v>
      </c>
      <c r="E1115" s="19" t="s">
        <v>1036</v>
      </c>
      <c r="F1115" s="19" t="s">
        <v>1037</v>
      </c>
      <c r="G1115" s="19" t="s">
        <v>976</v>
      </c>
      <c r="H1115" s="19" t="s">
        <v>984</v>
      </c>
      <c r="I1115" s="19"/>
      <c r="J1115" s="19" t="s">
        <v>18</v>
      </c>
      <c r="K1115" s="19" t="s">
        <v>18</v>
      </c>
      <c r="L1115" s="19" t="s">
        <v>19</v>
      </c>
      <c r="M1115" s="19" t="s">
        <v>19</v>
      </c>
      <c r="N1115" s="19" t="s">
        <v>18</v>
      </c>
      <c r="O1115" s="19"/>
      <c r="P1115" s="19">
        <v>102.106944</v>
      </c>
      <c r="Q1115" s="19">
        <v>5.6847219999999998</v>
      </c>
      <c r="R1115" s="19"/>
      <c r="S1115" s="19" t="s">
        <v>20</v>
      </c>
    </row>
    <row r="1116" spans="1:19" hidden="1" x14ac:dyDescent="0.25">
      <c r="A1116" s="28">
        <v>5621053</v>
      </c>
      <c r="B1116" s="15" t="s">
        <v>1052</v>
      </c>
      <c r="C1116" s="19" t="s">
        <v>12</v>
      </c>
      <c r="D1116" s="21" t="s">
        <v>976</v>
      </c>
      <c r="E1116" s="19" t="s">
        <v>1053</v>
      </c>
      <c r="F1116" s="19" t="s">
        <v>1054</v>
      </c>
      <c r="G1116" s="19" t="s">
        <v>976</v>
      </c>
      <c r="H1116" s="19" t="s">
        <v>1055</v>
      </c>
      <c r="I1116" s="19" t="s">
        <v>1056</v>
      </c>
      <c r="J1116" s="19" t="s">
        <v>19</v>
      </c>
      <c r="K1116" s="19" t="s">
        <v>19</v>
      </c>
      <c r="L1116" s="19" t="s">
        <v>18</v>
      </c>
      <c r="M1116" s="19" t="s">
        <v>19</v>
      </c>
      <c r="N1116" s="19" t="s">
        <v>18</v>
      </c>
      <c r="O1116" s="19"/>
      <c r="P1116" s="19">
        <v>102.141667</v>
      </c>
      <c r="Q1116" s="19">
        <v>5.670833</v>
      </c>
      <c r="R1116" s="19"/>
      <c r="S1116" s="19" t="s">
        <v>243</v>
      </c>
    </row>
    <row r="1117" spans="1:19" hidden="1" x14ac:dyDescent="0.25">
      <c r="A1117" s="28">
        <v>5621054</v>
      </c>
      <c r="B1117" s="15" t="s">
        <v>1057</v>
      </c>
      <c r="C1117" s="19" t="s">
        <v>12</v>
      </c>
      <c r="D1117" s="21" t="s">
        <v>976</v>
      </c>
      <c r="E1117" s="19" t="s">
        <v>1053</v>
      </c>
      <c r="F1117" s="19"/>
      <c r="G1117" s="19"/>
      <c r="H1117" s="19"/>
      <c r="I1117" s="19"/>
      <c r="J1117" s="19" t="s">
        <v>19</v>
      </c>
      <c r="K1117" s="19" t="s">
        <v>18</v>
      </c>
      <c r="L1117" s="19" t="s">
        <v>19</v>
      </c>
      <c r="M1117" s="19" t="s">
        <v>19</v>
      </c>
      <c r="N1117" s="19" t="s">
        <v>18</v>
      </c>
      <c r="O1117" s="19"/>
      <c r="P1117" s="19">
        <v>102.101389</v>
      </c>
      <c r="Q1117" s="19">
        <v>5.6291669999999998</v>
      </c>
      <c r="R1117" s="19"/>
      <c r="S1117" s="19"/>
    </row>
    <row r="1118" spans="1:19" hidden="1" x14ac:dyDescent="0.25">
      <c r="A1118" s="28">
        <v>5621071</v>
      </c>
      <c r="B1118" s="15" t="s">
        <v>1058</v>
      </c>
      <c r="C1118" s="19" t="s">
        <v>12</v>
      </c>
      <c r="D1118" s="21" t="s">
        <v>976</v>
      </c>
      <c r="E1118" s="19" t="s">
        <v>1053</v>
      </c>
      <c r="F1118" s="19"/>
      <c r="G1118" s="19"/>
      <c r="H1118" s="19"/>
      <c r="I1118" s="19"/>
      <c r="J1118" s="19" t="s">
        <v>19</v>
      </c>
      <c r="K1118" s="19" t="s">
        <v>18</v>
      </c>
      <c r="L1118" s="19" t="s">
        <v>19</v>
      </c>
      <c r="M1118" s="19" t="s">
        <v>19</v>
      </c>
      <c r="N1118" s="19" t="s">
        <v>18</v>
      </c>
      <c r="O1118" s="19"/>
      <c r="P1118" s="19">
        <v>101.71005599999999</v>
      </c>
      <c r="Q1118" s="19">
        <v>5.6040559999999999</v>
      </c>
      <c r="R1118" s="19"/>
      <c r="S1118" s="19"/>
    </row>
    <row r="1119" spans="1:19" hidden="1" x14ac:dyDescent="0.25">
      <c r="A1119" s="28">
        <v>5622048</v>
      </c>
      <c r="B1119" s="15" t="s">
        <v>1059</v>
      </c>
      <c r="C1119" s="19" t="s">
        <v>12</v>
      </c>
      <c r="D1119" s="21" t="s">
        <v>976</v>
      </c>
      <c r="E1119" s="19" t="s">
        <v>996</v>
      </c>
      <c r="F1119" s="19" t="s">
        <v>1040</v>
      </c>
      <c r="G1119" s="19" t="s">
        <v>976</v>
      </c>
      <c r="H1119" s="19" t="s">
        <v>490</v>
      </c>
      <c r="I1119" s="19"/>
      <c r="J1119" s="19" t="s">
        <v>19</v>
      </c>
      <c r="K1119" s="19" t="s">
        <v>19</v>
      </c>
      <c r="L1119" s="19" t="s">
        <v>18</v>
      </c>
      <c r="M1119" s="19" t="s">
        <v>19</v>
      </c>
      <c r="N1119" s="19" t="s">
        <v>19</v>
      </c>
      <c r="O1119" s="19"/>
      <c r="P1119" s="19">
        <v>102.233333</v>
      </c>
      <c r="Q1119" s="19">
        <v>5.6166669999999996</v>
      </c>
      <c r="R1119" s="19"/>
      <c r="S1119" s="19" t="s">
        <v>20</v>
      </c>
    </row>
    <row r="1120" spans="1:19" hidden="1" x14ac:dyDescent="0.25">
      <c r="A1120" s="28">
        <v>5623001</v>
      </c>
      <c r="B1120" s="15" t="s">
        <v>1060</v>
      </c>
      <c r="C1120" s="19" t="s">
        <v>12</v>
      </c>
      <c r="D1120" s="21" t="s">
        <v>976</v>
      </c>
      <c r="E1120" s="19" t="s">
        <v>996</v>
      </c>
      <c r="F1120" s="19"/>
      <c r="G1120" s="19"/>
      <c r="H1120" s="19"/>
      <c r="I1120" s="19"/>
      <c r="J1120" s="19" t="s">
        <v>19</v>
      </c>
      <c r="K1120" s="19" t="s">
        <v>18</v>
      </c>
      <c r="L1120" s="19" t="s">
        <v>19</v>
      </c>
      <c r="M1120" s="19" t="s">
        <v>19</v>
      </c>
      <c r="N1120" s="19" t="s">
        <v>18</v>
      </c>
      <c r="O1120" s="19"/>
      <c r="P1120" s="19">
        <v>102.288483</v>
      </c>
      <c r="Q1120" s="19">
        <v>5.6019329999999998</v>
      </c>
      <c r="R1120" s="19"/>
      <c r="S1120" s="19"/>
    </row>
    <row r="1121" spans="1:19" hidden="1" x14ac:dyDescent="0.25">
      <c r="A1121" s="29">
        <v>5624001</v>
      </c>
      <c r="B1121" s="25" t="s">
        <v>1994</v>
      </c>
      <c r="C1121" s="26" t="s">
        <v>12</v>
      </c>
      <c r="D1121" s="24" t="s">
        <v>1865</v>
      </c>
      <c r="E1121" s="26" t="s">
        <v>1972</v>
      </c>
      <c r="F1121" s="26"/>
      <c r="G1121" s="26" t="s">
        <v>1972</v>
      </c>
      <c r="H1121" s="26" t="s">
        <v>1995</v>
      </c>
      <c r="I1121" s="26"/>
      <c r="J1121" s="26" t="s">
        <v>18</v>
      </c>
      <c r="K1121" s="26" t="s">
        <v>18</v>
      </c>
      <c r="L1121" s="26" t="s">
        <v>19</v>
      </c>
      <c r="M1121" s="26" t="s">
        <v>19</v>
      </c>
      <c r="N1121" s="26" t="s">
        <v>18</v>
      </c>
      <c r="O1121" s="26" t="s">
        <v>19</v>
      </c>
      <c r="P1121" s="26">
        <v>102.48997199999999</v>
      </c>
      <c r="Q1121" s="26">
        <v>5.6748329999999996</v>
      </c>
      <c r="R1121" s="26" t="s">
        <v>41</v>
      </c>
      <c r="S1121" s="26" t="s">
        <v>1870</v>
      </c>
    </row>
    <row r="1122" spans="1:19" hidden="1" x14ac:dyDescent="0.25">
      <c r="A1122" s="29">
        <v>5624002</v>
      </c>
      <c r="B1122" s="25" t="s">
        <v>1996</v>
      </c>
      <c r="C1122" s="26" t="s">
        <v>12</v>
      </c>
      <c r="D1122" s="24" t="s">
        <v>1865</v>
      </c>
      <c r="E1122" s="26" t="s">
        <v>1892</v>
      </c>
      <c r="F1122" s="26" t="s">
        <v>1894</v>
      </c>
      <c r="G1122" s="26" t="s">
        <v>1894</v>
      </c>
      <c r="H1122" s="26"/>
      <c r="I1122" s="26"/>
      <c r="J1122" s="26" t="s">
        <v>19</v>
      </c>
      <c r="K1122" s="26" t="s">
        <v>18</v>
      </c>
      <c r="L1122" s="26" t="s">
        <v>19</v>
      </c>
      <c r="M1122" s="26" t="s">
        <v>18</v>
      </c>
      <c r="N1122" s="26" t="s">
        <v>19</v>
      </c>
      <c r="O1122" s="26" t="s">
        <v>19</v>
      </c>
      <c r="P1122" s="26">
        <v>102.479167</v>
      </c>
      <c r="Q1122" s="26">
        <v>5.6958330000000004</v>
      </c>
      <c r="R1122" s="26"/>
      <c r="S1122" s="26" t="s">
        <v>1870</v>
      </c>
    </row>
    <row r="1123" spans="1:19" hidden="1" x14ac:dyDescent="0.25">
      <c r="A1123" s="29">
        <v>5625003</v>
      </c>
      <c r="B1123" s="25" t="s">
        <v>1997</v>
      </c>
      <c r="C1123" s="26" t="s">
        <v>12</v>
      </c>
      <c r="D1123" s="24" t="s">
        <v>1865</v>
      </c>
      <c r="E1123" s="26" t="s">
        <v>1972</v>
      </c>
      <c r="F1123" s="26" t="s">
        <v>1998</v>
      </c>
      <c r="G1123" s="26" t="s">
        <v>1972</v>
      </c>
      <c r="H1123" s="26" t="s">
        <v>1999</v>
      </c>
      <c r="I1123" s="26"/>
      <c r="J1123" s="26" t="s">
        <v>18</v>
      </c>
      <c r="K1123" s="26" t="s">
        <v>18</v>
      </c>
      <c r="L1123" s="26" t="s">
        <v>19</v>
      </c>
      <c r="M1123" s="26" t="s">
        <v>18</v>
      </c>
      <c r="N1123" s="26" t="s">
        <v>18</v>
      </c>
      <c r="O1123" s="26" t="s">
        <v>19</v>
      </c>
      <c r="P1123" s="26">
        <v>102.515278</v>
      </c>
      <c r="Q1123" s="26">
        <v>5.6</v>
      </c>
      <c r="R1123" s="26" t="s">
        <v>41</v>
      </c>
      <c r="S1123" s="26" t="s">
        <v>1870</v>
      </c>
    </row>
    <row r="1124" spans="1:19" hidden="1" x14ac:dyDescent="0.25">
      <c r="A1124" s="29">
        <v>5625004</v>
      </c>
      <c r="B1124" s="25" t="s">
        <v>2000</v>
      </c>
      <c r="C1124" s="26" t="s">
        <v>12</v>
      </c>
      <c r="D1124" s="24" t="s">
        <v>1865</v>
      </c>
      <c r="E1124" s="26" t="s">
        <v>1972</v>
      </c>
      <c r="F1124" s="26" t="s">
        <v>1985</v>
      </c>
      <c r="G1124" s="26" t="s">
        <v>1972</v>
      </c>
      <c r="H1124" s="26" t="s">
        <v>494</v>
      </c>
      <c r="I1124" s="26" t="s">
        <v>2001</v>
      </c>
      <c r="J1124" s="26" t="s">
        <v>19</v>
      </c>
      <c r="K1124" s="26" t="s">
        <v>19</v>
      </c>
      <c r="L1124" s="26" t="s">
        <v>18</v>
      </c>
      <c r="M1124" s="26" t="s">
        <v>19</v>
      </c>
      <c r="N1124" s="26" t="s">
        <v>19</v>
      </c>
      <c r="O1124" s="26" t="s">
        <v>19</v>
      </c>
      <c r="P1124" s="26">
        <v>102.504167</v>
      </c>
      <c r="Q1124" s="26">
        <v>5.6402780000000003</v>
      </c>
      <c r="R1124" s="26" t="s">
        <v>41</v>
      </c>
      <c r="S1124" s="26" t="s">
        <v>1870</v>
      </c>
    </row>
    <row r="1125" spans="1:19" hidden="1" x14ac:dyDescent="0.25">
      <c r="A1125" s="29">
        <v>5625011</v>
      </c>
      <c r="B1125" s="25" t="s">
        <v>2002</v>
      </c>
      <c r="C1125" s="26" t="s">
        <v>12</v>
      </c>
      <c r="D1125" s="24" t="s">
        <v>1865</v>
      </c>
      <c r="E1125" s="26" t="s">
        <v>1972</v>
      </c>
      <c r="F1125" s="26"/>
      <c r="G1125" s="26" t="s">
        <v>1972</v>
      </c>
      <c r="H1125" s="26" t="s">
        <v>1660</v>
      </c>
      <c r="I1125" s="26"/>
      <c r="J1125" s="26" t="s">
        <v>18</v>
      </c>
      <c r="K1125" s="26" t="s">
        <v>18</v>
      </c>
      <c r="L1125" s="26" t="s">
        <v>19</v>
      </c>
      <c r="M1125" s="26" t="s">
        <v>19</v>
      </c>
      <c r="N1125" s="26" t="s">
        <v>18</v>
      </c>
      <c r="O1125" s="26" t="s">
        <v>19</v>
      </c>
      <c r="P1125" s="26">
        <v>102.563889</v>
      </c>
      <c r="Q1125" s="26">
        <v>5.6791669999999996</v>
      </c>
      <c r="R1125" s="26" t="s">
        <v>472</v>
      </c>
      <c r="S1125" s="26" t="s">
        <v>1870</v>
      </c>
    </row>
    <row r="1126" spans="1:19" hidden="1" x14ac:dyDescent="0.25">
      <c r="A1126" s="29">
        <v>5626001</v>
      </c>
      <c r="B1126" s="25" t="s">
        <v>2003</v>
      </c>
      <c r="C1126" s="26" t="s">
        <v>12</v>
      </c>
      <c r="D1126" s="24" t="s">
        <v>1865</v>
      </c>
      <c r="E1126" s="26" t="s">
        <v>1972</v>
      </c>
      <c r="F1126" s="26"/>
      <c r="G1126" s="26" t="s">
        <v>1972</v>
      </c>
      <c r="H1126" s="26" t="s">
        <v>2004</v>
      </c>
      <c r="I1126" s="26"/>
      <c r="J1126" s="26" t="s">
        <v>18</v>
      </c>
      <c r="K1126" s="26" t="s">
        <v>18</v>
      </c>
      <c r="L1126" s="26" t="s">
        <v>19</v>
      </c>
      <c r="M1126" s="26" t="s">
        <v>19</v>
      </c>
      <c r="N1126" s="26" t="s">
        <v>18</v>
      </c>
      <c r="O1126" s="26" t="s">
        <v>19</v>
      </c>
      <c r="P1126" s="26">
        <v>102.62222199999999</v>
      </c>
      <c r="Q1126" s="26">
        <v>5.6430559999999996</v>
      </c>
      <c r="R1126" s="26" t="s">
        <v>41</v>
      </c>
      <c r="S1126" s="26" t="s">
        <v>1870</v>
      </c>
    </row>
    <row r="1127" spans="1:19" hidden="1" x14ac:dyDescent="0.25">
      <c r="A1127" s="29">
        <v>5626012</v>
      </c>
      <c r="B1127" s="25" t="s">
        <v>2005</v>
      </c>
      <c r="C1127" s="26" t="s">
        <v>12</v>
      </c>
      <c r="D1127" s="24" t="s">
        <v>1865</v>
      </c>
      <c r="E1127" s="26" t="s">
        <v>1972</v>
      </c>
      <c r="F1127" s="26"/>
      <c r="G1127" s="26" t="s">
        <v>1972</v>
      </c>
      <c r="H1127" s="26" t="s">
        <v>471</v>
      </c>
      <c r="I1127" s="26" t="s">
        <v>1608</v>
      </c>
      <c r="J1127" s="26" t="s">
        <v>19</v>
      </c>
      <c r="K1127" s="26" t="s">
        <v>19</v>
      </c>
      <c r="L1127" s="26" t="s">
        <v>18</v>
      </c>
      <c r="M1127" s="26" t="s">
        <v>19</v>
      </c>
      <c r="N1127" s="26" t="s">
        <v>19</v>
      </c>
      <c r="O1127" s="26" t="s">
        <v>19</v>
      </c>
      <c r="P1127" s="26">
        <v>102.62777800000001</v>
      </c>
      <c r="Q1127" s="26">
        <v>5.6541670000000002</v>
      </c>
      <c r="R1127" s="26" t="s">
        <v>472</v>
      </c>
      <c r="S1127" s="26" t="s">
        <v>1870</v>
      </c>
    </row>
    <row r="1128" spans="1:19" hidden="1" x14ac:dyDescent="0.25">
      <c r="A1128" s="29">
        <v>5704054</v>
      </c>
      <c r="B1128" s="25" t="s">
        <v>511</v>
      </c>
      <c r="C1128" s="26" t="s">
        <v>12</v>
      </c>
      <c r="D1128" s="24" t="s">
        <v>451</v>
      </c>
      <c r="E1128" s="26" t="s">
        <v>486</v>
      </c>
      <c r="F1128" s="26"/>
      <c r="G1128" s="26" t="s">
        <v>497</v>
      </c>
      <c r="H1128" s="26" t="s">
        <v>512</v>
      </c>
      <c r="I1128" s="26" t="s">
        <v>513</v>
      </c>
      <c r="J1128" s="26" t="s">
        <v>19</v>
      </c>
      <c r="K1128" s="26" t="s">
        <v>19</v>
      </c>
      <c r="L1128" s="26" t="s">
        <v>18</v>
      </c>
      <c r="M1128" s="26" t="s">
        <v>19</v>
      </c>
      <c r="N1128" s="26" t="s">
        <v>19</v>
      </c>
      <c r="O1128" s="26" t="s">
        <v>19</v>
      </c>
      <c r="P1128" s="26">
        <v>100.413889</v>
      </c>
      <c r="Q1128" s="26">
        <v>5.793056</v>
      </c>
      <c r="R1128" s="26"/>
      <c r="S1128" s="26" t="s">
        <v>164</v>
      </c>
    </row>
    <row r="1129" spans="1:19" hidden="1" x14ac:dyDescent="0.25">
      <c r="A1129" s="29">
        <v>5704055</v>
      </c>
      <c r="B1129" s="25" t="s">
        <v>514</v>
      </c>
      <c r="C1129" s="26" t="s">
        <v>12</v>
      </c>
      <c r="D1129" s="24" t="s">
        <v>451</v>
      </c>
      <c r="E1129" s="26" t="s">
        <v>486</v>
      </c>
      <c r="F1129" s="26"/>
      <c r="G1129" s="26" t="s">
        <v>497</v>
      </c>
      <c r="H1129" s="26" t="s">
        <v>507</v>
      </c>
      <c r="I1129" s="26"/>
      <c r="J1129" s="26" t="s">
        <v>18</v>
      </c>
      <c r="K1129" s="26" t="s">
        <v>18</v>
      </c>
      <c r="L1129" s="26" t="s">
        <v>18</v>
      </c>
      <c r="M1129" s="26" t="s">
        <v>19</v>
      </c>
      <c r="N1129" s="26" t="s">
        <v>18</v>
      </c>
      <c r="O1129" s="26" t="s">
        <v>19</v>
      </c>
      <c r="P1129" s="26">
        <v>100.438889</v>
      </c>
      <c r="Q1129" s="26">
        <v>5.795833</v>
      </c>
      <c r="R1129" s="26"/>
      <c r="S1129" s="26" t="s">
        <v>41</v>
      </c>
    </row>
    <row r="1130" spans="1:19" hidden="1" x14ac:dyDescent="0.25">
      <c r="A1130" s="29">
        <v>5704056</v>
      </c>
      <c r="B1130" s="25" t="s">
        <v>515</v>
      </c>
      <c r="C1130" s="26" t="s">
        <v>12</v>
      </c>
      <c r="D1130" s="24" t="s">
        <v>451</v>
      </c>
      <c r="E1130" s="26" t="s">
        <v>486</v>
      </c>
      <c r="F1130" s="26"/>
      <c r="G1130" s="26" t="s">
        <v>497</v>
      </c>
      <c r="H1130" s="26" t="s">
        <v>516</v>
      </c>
      <c r="I1130" s="26"/>
      <c r="J1130" s="26" t="s">
        <v>18</v>
      </c>
      <c r="K1130" s="26" t="s">
        <v>18</v>
      </c>
      <c r="L1130" s="26" t="s">
        <v>18</v>
      </c>
      <c r="M1130" s="26" t="s">
        <v>19</v>
      </c>
      <c r="N1130" s="26" t="s">
        <v>19</v>
      </c>
      <c r="O1130" s="26" t="s">
        <v>19</v>
      </c>
      <c r="P1130" s="26">
        <v>100.477778</v>
      </c>
      <c r="Q1130" s="26">
        <v>5.795833</v>
      </c>
      <c r="R1130" s="26"/>
      <c r="S1130" s="26" t="s">
        <v>41</v>
      </c>
    </row>
    <row r="1131" spans="1:19" hidden="1" x14ac:dyDescent="0.25">
      <c r="A1131" s="29">
        <v>5704057</v>
      </c>
      <c r="B1131" s="25" t="s">
        <v>517</v>
      </c>
      <c r="C1131" s="26" t="s">
        <v>12</v>
      </c>
      <c r="D1131" s="24" t="s">
        <v>451</v>
      </c>
      <c r="E1131" s="26" t="s">
        <v>486</v>
      </c>
      <c r="F1131" s="26"/>
      <c r="G1131" s="26" t="s">
        <v>497</v>
      </c>
      <c r="H1131" s="26" t="s">
        <v>494</v>
      </c>
      <c r="I1131" s="26"/>
      <c r="J1131" s="26" t="s">
        <v>18</v>
      </c>
      <c r="K1131" s="26" t="s">
        <v>18</v>
      </c>
      <c r="L1131" s="26" t="s">
        <v>18</v>
      </c>
      <c r="M1131" s="26" t="s">
        <v>19</v>
      </c>
      <c r="N1131" s="26" t="s">
        <v>18</v>
      </c>
      <c r="O1131" s="26" t="s">
        <v>19</v>
      </c>
      <c r="P1131" s="26">
        <v>100.443056</v>
      </c>
      <c r="Q1131" s="26">
        <v>5.7513889999999996</v>
      </c>
      <c r="R1131" s="26"/>
      <c r="S1131" s="26" t="s">
        <v>164</v>
      </c>
    </row>
    <row r="1132" spans="1:19" hidden="1" x14ac:dyDescent="0.25">
      <c r="A1132" s="29">
        <v>5704058</v>
      </c>
      <c r="B1132" s="25" t="s">
        <v>518</v>
      </c>
      <c r="C1132" s="26" t="s">
        <v>12</v>
      </c>
      <c r="D1132" s="24" t="s">
        <v>451</v>
      </c>
      <c r="E1132" s="26" t="s">
        <v>486</v>
      </c>
      <c r="F1132" s="26"/>
      <c r="G1132" s="26" t="s">
        <v>497</v>
      </c>
      <c r="H1132" s="26" t="s">
        <v>519</v>
      </c>
      <c r="I1132" s="26"/>
      <c r="J1132" s="26" t="s">
        <v>18</v>
      </c>
      <c r="K1132" s="26" t="s">
        <v>18</v>
      </c>
      <c r="L1132" s="26" t="s">
        <v>18</v>
      </c>
      <c r="M1132" s="26" t="s">
        <v>19</v>
      </c>
      <c r="N1132" s="26" t="s">
        <v>19</v>
      </c>
      <c r="O1132" s="26" t="s">
        <v>19</v>
      </c>
      <c r="P1132" s="26">
        <v>100.47361100000001</v>
      </c>
      <c r="Q1132" s="26">
        <v>5.706944</v>
      </c>
      <c r="R1132" s="26"/>
      <c r="S1132" s="26" t="s">
        <v>164</v>
      </c>
    </row>
    <row r="1133" spans="1:19" hidden="1" x14ac:dyDescent="0.25">
      <c r="A1133" s="29">
        <v>5708001</v>
      </c>
      <c r="B1133" s="25" t="s">
        <v>520</v>
      </c>
      <c r="C1133" s="26" t="s">
        <v>12</v>
      </c>
      <c r="D1133" s="24" t="s">
        <v>451</v>
      </c>
      <c r="E1133" s="26" t="s">
        <v>482</v>
      </c>
      <c r="F1133" s="26" t="s">
        <v>505</v>
      </c>
      <c r="G1133" s="26" t="s">
        <v>502</v>
      </c>
      <c r="H1133" s="26"/>
      <c r="I1133" s="26"/>
      <c r="J1133" s="26" t="s">
        <v>19</v>
      </c>
      <c r="K1133" s="26" t="s">
        <v>18</v>
      </c>
      <c r="L1133" s="26" t="s">
        <v>19</v>
      </c>
      <c r="M1133" s="26" t="s">
        <v>18</v>
      </c>
      <c r="N1133" s="26" t="s">
        <v>19</v>
      </c>
      <c r="O1133" s="26" t="s">
        <v>19</v>
      </c>
      <c r="P1133" s="26">
        <v>100.896278</v>
      </c>
      <c r="Q1133" s="26">
        <v>5.7876000000000003</v>
      </c>
      <c r="R1133" s="26"/>
      <c r="S1133" s="26"/>
    </row>
    <row r="1134" spans="1:19" hidden="1" x14ac:dyDescent="0.25">
      <c r="A1134" s="29">
        <v>5708071</v>
      </c>
      <c r="B1134" s="25" t="s">
        <v>521</v>
      </c>
      <c r="C1134" s="26" t="s">
        <v>12</v>
      </c>
      <c r="D1134" s="24" t="s">
        <v>451</v>
      </c>
      <c r="E1134" s="26" t="s">
        <v>482</v>
      </c>
      <c r="F1134" s="26"/>
      <c r="G1134" s="26" t="s">
        <v>481</v>
      </c>
      <c r="H1134" s="26" t="s">
        <v>522</v>
      </c>
      <c r="I1134" s="26"/>
      <c r="J1134" s="26" t="s">
        <v>18</v>
      </c>
      <c r="K1134" s="26" t="s">
        <v>18</v>
      </c>
      <c r="L1134" s="26" t="s">
        <v>18</v>
      </c>
      <c r="M1134" s="26" t="s">
        <v>19</v>
      </c>
      <c r="N1134" s="26" t="s">
        <v>18</v>
      </c>
      <c r="O1134" s="26" t="s">
        <v>19</v>
      </c>
      <c r="P1134" s="26">
        <v>100.893056</v>
      </c>
      <c r="Q1134" s="26">
        <v>5.7513889999999996</v>
      </c>
      <c r="R1134" s="26"/>
      <c r="S1134" s="26" t="s">
        <v>41</v>
      </c>
    </row>
    <row r="1135" spans="1:19" x14ac:dyDescent="0.25">
      <c r="A1135" s="28">
        <v>5710061</v>
      </c>
      <c r="B1135" s="15" t="s">
        <v>972</v>
      </c>
      <c r="C1135" s="19" t="s">
        <v>12</v>
      </c>
      <c r="D1135" s="21" t="s">
        <v>633</v>
      </c>
      <c r="E1135" s="19" t="s">
        <v>956</v>
      </c>
      <c r="F1135" s="19" t="s">
        <v>589</v>
      </c>
      <c r="G1135" s="19" t="s">
        <v>648</v>
      </c>
      <c r="H1135" s="19" t="s">
        <v>318</v>
      </c>
      <c r="I1135" s="19"/>
      <c r="J1135" s="19" t="s">
        <v>18</v>
      </c>
      <c r="K1135" s="19" t="s">
        <v>18</v>
      </c>
      <c r="L1135" s="19" t="s">
        <v>19</v>
      </c>
      <c r="M1135" s="19" t="s">
        <v>19</v>
      </c>
      <c r="N1135" s="19" t="s">
        <v>18</v>
      </c>
      <c r="O1135" s="19" t="s">
        <v>19</v>
      </c>
      <c r="P1135" s="19">
        <v>101</v>
      </c>
      <c r="Q1135" s="19">
        <v>5.7083329999999997</v>
      </c>
      <c r="R1135" s="19"/>
      <c r="S1135" s="19" t="s">
        <v>41</v>
      </c>
    </row>
    <row r="1136" spans="1:19" hidden="1" x14ac:dyDescent="0.25">
      <c r="A1136" s="28">
        <v>5717032</v>
      </c>
      <c r="B1136" s="15" t="s">
        <v>1061</v>
      </c>
      <c r="C1136" s="19" t="s">
        <v>12</v>
      </c>
      <c r="D1136" s="21" t="s">
        <v>976</v>
      </c>
      <c r="E1136" s="19" t="s">
        <v>1020</v>
      </c>
      <c r="F1136" s="19" t="s">
        <v>1021</v>
      </c>
      <c r="G1136" s="19" t="s">
        <v>976</v>
      </c>
      <c r="H1136" s="19" t="s">
        <v>1062</v>
      </c>
      <c r="I1136" s="19"/>
      <c r="J1136" s="19" t="s">
        <v>19</v>
      </c>
      <c r="K1136" s="19" t="s">
        <v>19</v>
      </c>
      <c r="L1136" s="19" t="s">
        <v>18</v>
      </c>
      <c r="M1136" s="19" t="s">
        <v>19</v>
      </c>
      <c r="N1136" s="19" t="s">
        <v>19</v>
      </c>
      <c r="O1136" s="19"/>
      <c r="P1136" s="19">
        <v>101.73055600000001</v>
      </c>
      <c r="Q1136" s="19">
        <v>5.7013889999999998</v>
      </c>
      <c r="R1136" s="19"/>
      <c r="S1136" s="19" t="s">
        <v>243</v>
      </c>
    </row>
    <row r="1137" spans="1:19" hidden="1" x14ac:dyDescent="0.25">
      <c r="A1137" s="28">
        <v>5718001</v>
      </c>
      <c r="B1137" s="15" t="s">
        <v>1063</v>
      </c>
      <c r="C1137" s="19" t="s">
        <v>12</v>
      </c>
      <c r="D1137" s="21" t="s">
        <v>976</v>
      </c>
      <c r="E1137" s="19" t="s">
        <v>1020</v>
      </c>
      <c r="F1137" s="19" t="s">
        <v>1064</v>
      </c>
      <c r="G1137" s="19" t="s">
        <v>976</v>
      </c>
      <c r="H1137" s="19" t="s">
        <v>984</v>
      </c>
      <c r="I1137" s="19"/>
      <c r="J1137" s="19" t="s">
        <v>18</v>
      </c>
      <c r="K1137" s="19" t="s">
        <v>18</v>
      </c>
      <c r="L1137" s="19" t="s">
        <v>19</v>
      </c>
      <c r="M1137" s="19" t="s">
        <v>19</v>
      </c>
      <c r="N1137" s="19" t="s">
        <v>18</v>
      </c>
      <c r="O1137" s="19"/>
      <c r="P1137" s="19">
        <v>101.86666700000001</v>
      </c>
      <c r="Q1137" s="19">
        <v>5.7611109999999996</v>
      </c>
      <c r="R1137" s="19"/>
      <c r="S1137" s="19" t="s">
        <v>41</v>
      </c>
    </row>
    <row r="1138" spans="1:19" hidden="1" x14ac:dyDescent="0.25">
      <c r="A1138" s="28">
        <v>5718002</v>
      </c>
      <c r="B1138" s="15" t="s">
        <v>1065</v>
      </c>
      <c r="C1138" s="19" t="s">
        <v>12</v>
      </c>
      <c r="D1138" s="21" t="s">
        <v>976</v>
      </c>
      <c r="E1138" s="19" t="s">
        <v>1020</v>
      </c>
      <c r="F1138" s="19" t="s">
        <v>1064</v>
      </c>
      <c r="G1138" s="19" t="s">
        <v>1066</v>
      </c>
      <c r="H1138" s="19" t="s">
        <v>1067</v>
      </c>
      <c r="I1138" s="19"/>
      <c r="J1138" s="19" t="s">
        <v>18</v>
      </c>
      <c r="K1138" s="19" t="s">
        <v>18</v>
      </c>
      <c r="L1138" s="19" t="s">
        <v>19</v>
      </c>
      <c r="M1138" s="19" t="s">
        <v>19</v>
      </c>
      <c r="N1138" s="19" t="s">
        <v>18</v>
      </c>
      <c r="O1138" s="19"/>
      <c r="P1138" s="19">
        <v>101.88888900000001</v>
      </c>
      <c r="Q1138" s="19">
        <v>5.7750000000000004</v>
      </c>
      <c r="R1138" s="19"/>
      <c r="S1138" s="19" t="s">
        <v>41</v>
      </c>
    </row>
    <row r="1139" spans="1:19" hidden="1" x14ac:dyDescent="0.25">
      <c r="A1139" s="28">
        <v>5718033</v>
      </c>
      <c r="B1139" s="15" t="s">
        <v>1068</v>
      </c>
      <c r="C1139" s="19" t="s">
        <v>12</v>
      </c>
      <c r="D1139" s="21" t="s">
        <v>976</v>
      </c>
      <c r="E1139" s="19" t="s">
        <v>1020</v>
      </c>
      <c r="F1139" s="19" t="s">
        <v>1021</v>
      </c>
      <c r="G1139" s="19" t="s">
        <v>976</v>
      </c>
      <c r="H1139" s="19" t="s">
        <v>971</v>
      </c>
      <c r="I1139" s="19"/>
      <c r="J1139" s="19" t="s">
        <v>18</v>
      </c>
      <c r="K1139" s="19" t="s">
        <v>18</v>
      </c>
      <c r="L1139" s="19" t="s">
        <v>19</v>
      </c>
      <c r="M1139" s="19" t="s">
        <v>18</v>
      </c>
      <c r="N1139" s="19" t="s">
        <v>18</v>
      </c>
      <c r="O1139" s="19"/>
      <c r="P1139" s="19">
        <v>101.83888899999999</v>
      </c>
      <c r="Q1139" s="19">
        <v>5.7013889999999998</v>
      </c>
      <c r="R1139" s="19"/>
      <c r="S1139" s="19" t="s">
        <v>41</v>
      </c>
    </row>
    <row r="1140" spans="1:19" hidden="1" x14ac:dyDescent="0.25">
      <c r="A1140" s="28">
        <v>5719001</v>
      </c>
      <c r="B1140" s="15" t="s">
        <v>1069</v>
      </c>
      <c r="C1140" s="19" t="s">
        <v>12</v>
      </c>
      <c r="D1140" s="21" t="s">
        <v>976</v>
      </c>
      <c r="E1140" s="19" t="s">
        <v>1036</v>
      </c>
      <c r="F1140" s="19" t="s">
        <v>1070</v>
      </c>
      <c r="G1140" s="19" t="s">
        <v>1066</v>
      </c>
      <c r="H1140" s="19" t="s">
        <v>1071</v>
      </c>
      <c r="I1140" s="19"/>
      <c r="J1140" s="19" t="s">
        <v>18</v>
      </c>
      <c r="K1140" s="19" t="s">
        <v>18</v>
      </c>
      <c r="L1140" s="19" t="s">
        <v>19</v>
      </c>
      <c r="M1140" s="19" t="s">
        <v>19</v>
      </c>
      <c r="N1140" s="19" t="s">
        <v>18</v>
      </c>
      <c r="O1140" s="19"/>
      <c r="P1140" s="19">
        <v>101.968056</v>
      </c>
      <c r="Q1140" s="19">
        <v>5.7805559999999998</v>
      </c>
      <c r="R1140" s="19"/>
      <c r="S1140" s="19" t="s">
        <v>41</v>
      </c>
    </row>
    <row r="1141" spans="1:19" hidden="1" x14ac:dyDescent="0.25">
      <c r="A1141" s="28">
        <v>5719002</v>
      </c>
      <c r="B1141" s="15" t="s">
        <v>1072</v>
      </c>
      <c r="C1141" s="19" t="s">
        <v>12</v>
      </c>
      <c r="D1141" s="21" t="s">
        <v>976</v>
      </c>
      <c r="E1141" s="19" t="s">
        <v>1036</v>
      </c>
      <c r="F1141" s="19"/>
      <c r="G1141" s="19"/>
      <c r="H1141" s="19"/>
      <c r="I1141" s="19"/>
      <c r="J1141" s="19" t="s">
        <v>19</v>
      </c>
      <c r="K1141" s="19" t="s">
        <v>18</v>
      </c>
      <c r="L1141" s="19" t="s">
        <v>19</v>
      </c>
      <c r="M1141" s="19" t="s">
        <v>19</v>
      </c>
      <c r="N1141" s="19" t="s">
        <v>18</v>
      </c>
      <c r="O1141" s="19"/>
      <c r="P1141" s="19">
        <v>101.984583</v>
      </c>
      <c r="Q1141" s="19">
        <v>5.7006389999999998</v>
      </c>
      <c r="R1141" s="19"/>
      <c r="S1141" s="19"/>
    </row>
    <row r="1142" spans="1:19" hidden="1" x14ac:dyDescent="0.25">
      <c r="A1142" s="28">
        <v>5720055</v>
      </c>
      <c r="B1142" s="15" t="s">
        <v>1073</v>
      </c>
      <c r="C1142" s="19" t="s">
        <v>12</v>
      </c>
      <c r="D1142" s="21" t="s">
        <v>976</v>
      </c>
      <c r="E1142" s="19" t="s">
        <v>1036</v>
      </c>
      <c r="F1142" s="19" t="s">
        <v>1074</v>
      </c>
      <c r="G1142" s="19" t="s">
        <v>976</v>
      </c>
      <c r="H1142" s="19" t="s">
        <v>1009</v>
      </c>
      <c r="I1142" s="19" t="s">
        <v>963</v>
      </c>
      <c r="J1142" s="19" t="s">
        <v>19</v>
      </c>
      <c r="K1142" s="19" t="s">
        <v>19</v>
      </c>
      <c r="L1142" s="19" t="s">
        <v>18</v>
      </c>
      <c r="M1142" s="19" t="s">
        <v>19</v>
      </c>
      <c r="N1142" s="19" t="s">
        <v>19</v>
      </c>
      <c r="O1142" s="19"/>
      <c r="P1142" s="19">
        <v>102.058333</v>
      </c>
      <c r="Q1142" s="19">
        <v>5.7486110000000004</v>
      </c>
      <c r="R1142" s="19"/>
      <c r="S1142" s="19" t="s">
        <v>41</v>
      </c>
    </row>
    <row r="1143" spans="1:19" hidden="1" x14ac:dyDescent="0.25">
      <c r="A1143" s="28">
        <v>5721001</v>
      </c>
      <c r="B1143" s="15" t="s">
        <v>1075</v>
      </c>
      <c r="C1143" s="19" t="s">
        <v>12</v>
      </c>
      <c r="D1143" s="21" t="s">
        <v>976</v>
      </c>
      <c r="E1143" s="19" t="s">
        <v>1053</v>
      </c>
      <c r="F1143" s="19" t="s">
        <v>1012</v>
      </c>
      <c r="G1143" s="19" t="s">
        <v>976</v>
      </c>
      <c r="H1143" s="19" t="s">
        <v>1076</v>
      </c>
      <c r="I1143" s="19" t="s">
        <v>1077</v>
      </c>
      <c r="J1143" s="19" t="s">
        <v>19</v>
      </c>
      <c r="K1143" s="19" t="s">
        <v>18</v>
      </c>
      <c r="L1143" s="19" t="s">
        <v>18</v>
      </c>
      <c r="M1143" s="19" t="s">
        <v>19</v>
      </c>
      <c r="N1143" s="19" t="s">
        <v>18</v>
      </c>
      <c r="O1143" s="19"/>
      <c r="P1143" s="19">
        <v>102.152778</v>
      </c>
      <c r="Q1143" s="19">
        <v>5.7027780000000003</v>
      </c>
      <c r="R1143" s="19"/>
      <c r="S1143" s="19" t="s">
        <v>41</v>
      </c>
    </row>
    <row r="1144" spans="1:19" hidden="1" x14ac:dyDescent="0.25">
      <c r="A1144" s="28">
        <v>5721002</v>
      </c>
      <c r="B1144" s="15" t="s">
        <v>1078</v>
      </c>
      <c r="C1144" s="19" t="s">
        <v>12</v>
      </c>
      <c r="D1144" s="21" t="s">
        <v>976</v>
      </c>
      <c r="E1144" s="19" t="s">
        <v>1053</v>
      </c>
      <c r="F1144" s="19"/>
      <c r="G1144" s="19"/>
      <c r="H1144" s="19"/>
      <c r="I1144" s="19"/>
      <c r="J1144" s="19" t="s">
        <v>19</v>
      </c>
      <c r="K1144" s="19" t="s">
        <v>19</v>
      </c>
      <c r="L1144" s="19" t="s">
        <v>18</v>
      </c>
      <c r="M1144" s="19" t="s">
        <v>19</v>
      </c>
      <c r="N1144" s="19" t="s">
        <v>19</v>
      </c>
      <c r="O1144" s="19"/>
      <c r="P1144" s="19">
        <v>102.14361100000001</v>
      </c>
      <c r="Q1144" s="19">
        <v>5.7625000000000002</v>
      </c>
      <c r="R1144" s="19"/>
      <c r="S1144" s="19"/>
    </row>
    <row r="1145" spans="1:19" hidden="1" x14ac:dyDescent="0.25">
      <c r="A1145" s="28">
        <v>5721042</v>
      </c>
      <c r="B1145" s="15" t="s">
        <v>1079</v>
      </c>
      <c r="C1145" s="19" t="s">
        <v>12</v>
      </c>
      <c r="D1145" s="21" t="s">
        <v>976</v>
      </c>
      <c r="E1145" s="19" t="s">
        <v>1053</v>
      </c>
      <c r="F1145" s="19" t="s">
        <v>1012</v>
      </c>
      <c r="G1145" s="19" t="s">
        <v>1012</v>
      </c>
      <c r="H1145" s="19"/>
      <c r="I1145" s="19"/>
      <c r="J1145" s="19" t="s">
        <v>19</v>
      </c>
      <c r="K1145" s="19" t="s">
        <v>18</v>
      </c>
      <c r="L1145" s="19" t="s">
        <v>19</v>
      </c>
      <c r="M1145" s="19" t="s">
        <v>18</v>
      </c>
      <c r="N1145" s="19" t="s">
        <v>19</v>
      </c>
      <c r="O1145" s="19"/>
      <c r="P1145" s="19">
        <v>102.15</v>
      </c>
      <c r="Q1145" s="19">
        <v>5.75</v>
      </c>
      <c r="R1145" s="19"/>
      <c r="S1145" s="19"/>
    </row>
    <row r="1146" spans="1:19" hidden="1" x14ac:dyDescent="0.25">
      <c r="A1146" s="28">
        <v>5721054</v>
      </c>
      <c r="B1146" s="15" t="s">
        <v>1080</v>
      </c>
      <c r="C1146" s="19" t="s">
        <v>12</v>
      </c>
      <c r="D1146" s="21" t="s">
        <v>976</v>
      </c>
      <c r="E1146" s="19" t="s">
        <v>1053</v>
      </c>
      <c r="F1146" s="19" t="s">
        <v>1012</v>
      </c>
      <c r="G1146" s="19" t="s">
        <v>976</v>
      </c>
      <c r="H1146" s="19" t="s">
        <v>1041</v>
      </c>
      <c r="I1146" s="19" t="s">
        <v>1081</v>
      </c>
      <c r="J1146" s="19" t="s">
        <v>19</v>
      </c>
      <c r="K1146" s="19" t="s">
        <v>19</v>
      </c>
      <c r="L1146" s="19" t="s">
        <v>18</v>
      </c>
      <c r="M1146" s="19" t="s">
        <v>19</v>
      </c>
      <c r="N1146" s="19" t="s">
        <v>19</v>
      </c>
      <c r="O1146" s="19"/>
      <c r="P1146" s="19">
        <v>102.152778</v>
      </c>
      <c r="Q1146" s="19">
        <v>5.7027780000000003</v>
      </c>
      <c r="R1146" s="19"/>
      <c r="S1146" s="19" t="s">
        <v>41</v>
      </c>
    </row>
    <row r="1147" spans="1:19" hidden="1" x14ac:dyDescent="0.25">
      <c r="A1147" s="28">
        <v>5721058</v>
      </c>
      <c r="B1147" s="15" t="s">
        <v>1082</v>
      </c>
      <c r="C1147" s="19" t="s">
        <v>12</v>
      </c>
      <c r="D1147" s="21" t="s">
        <v>976</v>
      </c>
      <c r="E1147" s="19" t="s">
        <v>1036</v>
      </c>
      <c r="F1147" s="19" t="s">
        <v>1012</v>
      </c>
      <c r="G1147" s="19" t="s">
        <v>976</v>
      </c>
      <c r="H1147" s="19" t="s">
        <v>1083</v>
      </c>
      <c r="I1147" s="19" t="s">
        <v>488</v>
      </c>
      <c r="J1147" s="19" t="s">
        <v>19</v>
      </c>
      <c r="K1147" s="19" t="s">
        <v>19</v>
      </c>
      <c r="L1147" s="19" t="s">
        <v>18</v>
      </c>
      <c r="M1147" s="19" t="s">
        <v>19</v>
      </c>
      <c r="N1147" s="19" t="s">
        <v>19</v>
      </c>
      <c r="O1147" s="19"/>
      <c r="P1147" s="19">
        <v>102.147222</v>
      </c>
      <c r="Q1147" s="19">
        <v>5.8083330000000002</v>
      </c>
      <c r="R1147" s="19"/>
      <c r="S1147" s="19" t="s">
        <v>41</v>
      </c>
    </row>
    <row r="1148" spans="1:19" hidden="1" x14ac:dyDescent="0.25">
      <c r="A1148" s="28">
        <v>5722057</v>
      </c>
      <c r="B1148" s="15" t="s">
        <v>1084</v>
      </c>
      <c r="C1148" s="19" t="s">
        <v>12</v>
      </c>
      <c r="D1148" s="21" t="s">
        <v>976</v>
      </c>
      <c r="E1148" s="19" t="s">
        <v>1053</v>
      </c>
      <c r="F1148" s="19" t="s">
        <v>1012</v>
      </c>
      <c r="G1148" s="19" t="s">
        <v>976</v>
      </c>
      <c r="H1148" s="19" t="s">
        <v>1085</v>
      </c>
      <c r="I1148" s="19"/>
      <c r="J1148" s="19" t="s">
        <v>18</v>
      </c>
      <c r="K1148" s="19" t="s">
        <v>18</v>
      </c>
      <c r="L1148" s="19" t="s">
        <v>19</v>
      </c>
      <c r="M1148" s="19" t="s">
        <v>19</v>
      </c>
      <c r="N1148" s="19" t="s">
        <v>18</v>
      </c>
      <c r="O1148" s="19"/>
      <c r="P1148" s="19">
        <v>102.219444</v>
      </c>
      <c r="Q1148" s="19">
        <v>5.7874999999999996</v>
      </c>
      <c r="R1148" s="19"/>
      <c r="S1148" s="19" t="s">
        <v>41</v>
      </c>
    </row>
    <row r="1149" spans="1:19" hidden="1" x14ac:dyDescent="0.25">
      <c r="A1149" s="28">
        <v>5723056</v>
      </c>
      <c r="B1149" s="15" t="s">
        <v>1086</v>
      </c>
      <c r="C1149" s="19" t="s">
        <v>12</v>
      </c>
      <c r="D1149" s="21" t="s">
        <v>976</v>
      </c>
      <c r="E1149" s="19" t="s">
        <v>1087</v>
      </c>
      <c r="F1149" s="19" t="s">
        <v>1088</v>
      </c>
      <c r="G1149" s="19" t="s">
        <v>1089</v>
      </c>
      <c r="H1149" s="19" t="s">
        <v>1090</v>
      </c>
      <c r="I1149" s="19"/>
      <c r="J1149" s="19" t="s">
        <v>18</v>
      </c>
      <c r="K1149" s="19" t="s">
        <v>18</v>
      </c>
      <c r="L1149" s="19" t="s">
        <v>19</v>
      </c>
      <c r="M1149" s="19" t="s">
        <v>19</v>
      </c>
      <c r="N1149" s="19" t="s">
        <v>18</v>
      </c>
      <c r="O1149" s="19"/>
      <c r="P1149" s="19">
        <v>102.322222</v>
      </c>
      <c r="Q1149" s="19">
        <v>5.7583330000000004</v>
      </c>
      <c r="R1149" s="19"/>
      <c r="S1149" s="19" t="s">
        <v>41</v>
      </c>
    </row>
    <row r="1150" spans="1:19" hidden="1" x14ac:dyDescent="0.25">
      <c r="A1150" s="28">
        <v>5724002</v>
      </c>
      <c r="B1150" s="15" t="s">
        <v>1091</v>
      </c>
      <c r="C1150" s="19" t="s">
        <v>12</v>
      </c>
      <c r="D1150" s="21" t="s">
        <v>976</v>
      </c>
      <c r="E1150" s="19" t="s">
        <v>1087</v>
      </c>
      <c r="F1150" s="19" t="s">
        <v>1092</v>
      </c>
      <c r="G1150" s="19" t="s">
        <v>1089</v>
      </c>
      <c r="H1150" s="19" t="s">
        <v>739</v>
      </c>
      <c r="I1150" s="19"/>
      <c r="J1150" s="19" t="s">
        <v>18</v>
      </c>
      <c r="K1150" s="19" t="s">
        <v>18</v>
      </c>
      <c r="L1150" s="19" t="s">
        <v>19</v>
      </c>
      <c r="M1150" s="19" t="s">
        <v>19</v>
      </c>
      <c r="N1150" s="19" t="s">
        <v>18</v>
      </c>
      <c r="O1150" s="19"/>
      <c r="P1150" s="19">
        <v>102.431944</v>
      </c>
      <c r="Q1150" s="19">
        <v>5.766667</v>
      </c>
      <c r="R1150" s="19"/>
      <c r="S1150" s="19" t="s">
        <v>41</v>
      </c>
    </row>
    <row r="1151" spans="1:19" hidden="1" x14ac:dyDescent="0.25">
      <c r="A1151" s="29">
        <v>5724003</v>
      </c>
      <c r="B1151" s="25" t="s">
        <v>2006</v>
      </c>
      <c r="C1151" s="26" t="s">
        <v>12</v>
      </c>
      <c r="D1151" s="24" t="s">
        <v>1865</v>
      </c>
      <c r="E1151" s="26" t="s">
        <v>1972</v>
      </c>
      <c r="F1151" s="26"/>
      <c r="G1151" s="26" t="s">
        <v>1972</v>
      </c>
      <c r="H1151" s="26"/>
      <c r="I1151" s="26"/>
      <c r="J1151" s="26" t="s">
        <v>19</v>
      </c>
      <c r="K1151" s="26" t="s">
        <v>18</v>
      </c>
      <c r="L1151" s="26" t="s">
        <v>19</v>
      </c>
      <c r="M1151" s="26" t="s">
        <v>18</v>
      </c>
      <c r="N1151" s="26" t="s">
        <v>18</v>
      </c>
      <c r="O1151" s="26" t="s">
        <v>19</v>
      </c>
      <c r="P1151" s="26">
        <v>102.493056</v>
      </c>
      <c r="Q1151" s="26">
        <v>5.7397220000000004</v>
      </c>
      <c r="R1151" s="26" t="s">
        <v>41</v>
      </c>
      <c r="S1151" s="26" t="s">
        <v>1870</v>
      </c>
    </row>
    <row r="1152" spans="1:19" hidden="1" x14ac:dyDescent="0.25">
      <c r="A1152" s="28">
        <v>5724078</v>
      </c>
      <c r="B1152" s="15" t="s">
        <v>1093</v>
      </c>
      <c r="C1152" s="19" t="s">
        <v>12</v>
      </c>
      <c r="D1152" s="21" t="s">
        <v>976</v>
      </c>
      <c r="E1152" s="19" t="s">
        <v>1087</v>
      </c>
      <c r="F1152" s="19" t="s">
        <v>1092</v>
      </c>
      <c r="G1152" s="19" t="s">
        <v>1089</v>
      </c>
      <c r="H1152" s="19" t="s">
        <v>1094</v>
      </c>
      <c r="I1152" s="19"/>
      <c r="J1152" s="19" t="s">
        <v>19</v>
      </c>
      <c r="K1152" s="19" t="s">
        <v>19</v>
      </c>
      <c r="L1152" s="19" t="s">
        <v>18</v>
      </c>
      <c r="M1152" s="19" t="s">
        <v>19</v>
      </c>
      <c r="N1152" s="19" t="s">
        <v>19</v>
      </c>
      <c r="O1152" s="19"/>
      <c r="P1152" s="19">
        <v>101.90419199999999</v>
      </c>
      <c r="Q1152" s="19">
        <v>5.7302780000000002</v>
      </c>
      <c r="R1152" s="19"/>
      <c r="S1152" s="19"/>
    </row>
    <row r="1153" spans="1:19" hidden="1" x14ac:dyDescent="0.25">
      <c r="A1153" s="29">
        <v>5725005</v>
      </c>
      <c r="B1153" s="25" t="s">
        <v>2007</v>
      </c>
      <c r="C1153" s="26" t="s">
        <v>12</v>
      </c>
      <c r="D1153" s="24" t="s">
        <v>1865</v>
      </c>
      <c r="E1153" s="26" t="s">
        <v>1972</v>
      </c>
      <c r="F1153" s="26"/>
      <c r="G1153" s="26" t="s">
        <v>1972</v>
      </c>
      <c r="H1153" s="26" t="s">
        <v>529</v>
      </c>
      <c r="I1153" s="26" t="s">
        <v>1608</v>
      </c>
      <c r="J1153" s="26" t="s">
        <v>19</v>
      </c>
      <c r="K1153" s="26" t="s">
        <v>19</v>
      </c>
      <c r="L1153" s="26" t="s">
        <v>18</v>
      </c>
      <c r="M1153" s="26" t="s">
        <v>19</v>
      </c>
      <c r="N1153" s="26" t="s">
        <v>19</v>
      </c>
      <c r="O1153" s="26" t="s">
        <v>19</v>
      </c>
      <c r="P1153" s="26">
        <v>102.504167</v>
      </c>
      <c r="Q1153" s="26">
        <v>5.7374999999999998</v>
      </c>
      <c r="R1153" s="26" t="s">
        <v>41</v>
      </c>
      <c r="S1153" s="26" t="s">
        <v>1870</v>
      </c>
    </row>
    <row r="1154" spans="1:19" ht="30" hidden="1" x14ac:dyDescent="0.25">
      <c r="A1154" s="29">
        <v>5725006</v>
      </c>
      <c r="B1154" s="25" t="s">
        <v>2654</v>
      </c>
      <c r="C1154" s="26" t="s">
        <v>12</v>
      </c>
      <c r="D1154" s="24" t="s">
        <v>1865</v>
      </c>
      <c r="E1154" s="26" t="s">
        <v>1972</v>
      </c>
      <c r="F1154" s="26"/>
      <c r="G1154" s="26" t="s">
        <v>1972</v>
      </c>
      <c r="H1154" s="26" t="s">
        <v>2008</v>
      </c>
      <c r="I1154" s="26"/>
      <c r="J1154" s="26" t="s">
        <v>18</v>
      </c>
      <c r="K1154" s="26" t="s">
        <v>18</v>
      </c>
      <c r="L1154" s="26" t="s">
        <v>19</v>
      </c>
      <c r="M1154" s="26" t="s">
        <v>19</v>
      </c>
      <c r="N1154" s="26" t="s">
        <v>18</v>
      </c>
      <c r="O1154" s="26" t="s">
        <v>19</v>
      </c>
      <c r="P1154" s="26">
        <v>102.56527800000001</v>
      </c>
      <c r="Q1154" s="26">
        <v>5.7972219999999997</v>
      </c>
      <c r="R1154" s="26" t="s">
        <v>41</v>
      </c>
      <c r="S1154" s="26" t="s">
        <v>1870</v>
      </c>
    </row>
    <row r="1155" spans="1:19" hidden="1" x14ac:dyDescent="0.25">
      <c r="A1155" s="29">
        <v>5726013</v>
      </c>
      <c r="B1155" s="25" t="s">
        <v>2009</v>
      </c>
      <c r="C1155" s="26" t="s">
        <v>12</v>
      </c>
      <c r="D1155" s="24" t="s">
        <v>1865</v>
      </c>
      <c r="E1155" s="26" t="s">
        <v>1972</v>
      </c>
      <c r="F1155" s="26"/>
      <c r="G1155" s="26" t="s">
        <v>1972</v>
      </c>
      <c r="H1155" s="26" t="s">
        <v>1048</v>
      </c>
      <c r="I1155" s="26"/>
      <c r="J1155" s="26" t="s">
        <v>18</v>
      </c>
      <c r="K1155" s="26" t="s">
        <v>18</v>
      </c>
      <c r="L1155" s="26" t="s">
        <v>19</v>
      </c>
      <c r="M1155" s="26" t="s">
        <v>19</v>
      </c>
      <c r="N1155" s="26" t="s">
        <v>18</v>
      </c>
      <c r="O1155" s="26" t="s">
        <v>19</v>
      </c>
      <c r="P1155" s="26">
        <v>102.608333</v>
      </c>
      <c r="Q1155" s="26">
        <v>5.740278</v>
      </c>
      <c r="R1155" s="26" t="s">
        <v>472</v>
      </c>
      <c r="S1155" s="26" t="s">
        <v>1870</v>
      </c>
    </row>
    <row r="1156" spans="1:19" hidden="1" x14ac:dyDescent="0.25">
      <c r="A1156" s="29">
        <v>5803052</v>
      </c>
      <c r="B1156" s="25" t="s">
        <v>523</v>
      </c>
      <c r="C1156" s="26" t="s">
        <v>12</v>
      </c>
      <c r="D1156" s="24" t="s">
        <v>451</v>
      </c>
      <c r="E1156" s="26" t="s">
        <v>524</v>
      </c>
      <c r="F1156" s="26"/>
      <c r="G1156" s="26" t="s">
        <v>525</v>
      </c>
      <c r="H1156" s="26" t="s">
        <v>526</v>
      </c>
      <c r="I1156" s="26"/>
      <c r="J1156" s="26" t="s">
        <v>19</v>
      </c>
      <c r="K1156" s="26" t="s">
        <v>18</v>
      </c>
      <c r="L1156" s="26" t="s">
        <v>18</v>
      </c>
      <c r="M1156" s="26" t="s">
        <v>19</v>
      </c>
      <c r="N1156" s="26" t="s">
        <v>19</v>
      </c>
      <c r="O1156" s="26" t="s">
        <v>19</v>
      </c>
      <c r="P1156" s="26">
        <v>100.37777800000001</v>
      </c>
      <c r="Q1156" s="26">
        <v>5.9</v>
      </c>
      <c r="R1156" s="26"/>
      <c r="S1156" s="26" t="s">
        <v>41</v>
      </c>
    </row>
    <row r="1157" spans="1:19" hidden="1" x14ac:dyDescent="0.25">
      <c r="A1157" s="29">
        <v>5804053</v>
      </c>
      <c r="B1157" s="25" t="s">
        <v>527</v>
      </c>
      <c r="C1157" s="26" t="s">
        <v>12</v>
      </c>
      <c r="D1157" s="24" t="s">
        <v>451</v>
      </c>
      <c r="E1157" s="26" t="s">
        <v>528</v>
      </c>
      <c r="F1157" s="26"/>
      <c r="G1157" s="26" t="s">
        <v>497</v>
      </c>
      <c r="H1157" s="26" t="s">
        <v>529</v>
      </c>
      <c r="I1157" s="26" t="s">
        <v>530</v>
      </c>
      <c r="J1157" s="26" t="s">
        <v>19</v>
      </c>
      <c r="K1157" s="26" t="s">
        <v>19</v>
      </c>
      <c r="L1157" s="26" t="s">
        <v>19</v>
      </c>
      <c r="M1157" s="26" t="s">
        <v>19</v>
      </c>
      <c r="N1157" s="26" t="s">
        <v>18</v>
      </c>
      <c r="O1157" s="26" t="s">
        <v>19</v>
      </c>
      <c r="P1157" s="26">
        <v>100.45138900000001</v>
      </c>
      <c r="Q1157" s="26">
        <v>5.875</v>
      </c>
      <c r="R1157" s="26"/>
      <c r="S1157" s="26" t="s">
        <v>41</v>
      </c>
    </row>
    <row r="1158" spans="1:19" hidden="1" x14ac:dyDescent="0.25">
      <c r="A1158" s="29">
        <v>5804056</v>
      </c>
      <c r="B1158" s="25" t="s">
        <v>531</v>
      </c>
      <c r="C1158" s="26" t="s">
        <v>12</v>
      </c>
      <c r="D1158" s="24" t="s">
        <v>451</v>
      </c>
      <c r="E1158" s="26" t="s">
        <v>528</v>
      </c>
      <c r="F1158" s="26"/>
      <c r="G1158" s="26" t="s">
        <v>497</v>
      </c>
      <c r="H1158" s="26" t="s">
        <v>532</v>
      </c>
      <c r="I1158" s="26" t="s">
        <v>533</v>
      </c>
      <c r="J1158" s="26" t="s">
        <v>19</v>
      </c>
      <c r="K1158" s="26" t="s">
        <v>19</v>
      </c>
      <c r="L1158" s="26" t="s">
        <v>18</v>
      </c>
      <c r="M1158" s="26" t="s">
        <v>19</v>
      </c>
      <c r="N1158" s="26" t="s">
        <v>19</v>
      </c>
      <c r="O1158" s="26" t="s">
        <v>19</v>
      </c>
      <c r="P1158" s="26">
        <v>100.47361100000001</v>
      </c>
      <c r="Q1158" s="26">
        <v>5.7972219999999997</v>
      </c>
      <c r="R1158" s="26"/>
      <c r="S1158" s="26" t="s">
        <v>164</v>
      </c>
    </row>
    <row r="1159" spans="1:19" hidden="1" x14ac:dyDescent="0.25">
      <c r="A1159" s="29">
        <v>5806065</v>
      </c>
      <c r="B1159" s="25" t="s">
        <v>534</v>
      </c>
      <c r="C1159" s="26" t="s">
        <v>12</v>
      </c>
      <c r="D1159" s="24" t="s">
        <v>451</v>
      </c>
      <c r="E1159" s="26" t="s">
        <v>528</v>
      </c>
      <c r="F1159" s="26" t="s">
        <v>483</v>
      </c>
      <c r="G1159" s="26" t="s">
        <v>481</v>
      </c>
      <c r="H1159" s="26" t="s">
        <v>522</v>
      </c>
      <c r="I1159" s="26"/>
      <c r="J1159" s="26" t="s">
        <v>18</v>
      </c>
      <c r="K1159" s="26" t="s">
        <v>18</v>
      </c>
      <c r="L1159" s="26" t="s">
        <v>18</v>
      </c>
      <c r="M1159" s="26" t="s">
        <v>18</v>
      </c>
      <c r="N1159" s="26" t="s">
        <v>19</v>
      </c>
      <c r="O1159" s="26" t="s">
        <v>19</v>
      </c>
      <c r="P1159" s="26">
        <v>100.645833</v>
      </c>
      <c r="Q1159" s="26">
        <v>5.8986109999999998</v>
      </c>
      <c r="R1159" s="26"/>
      <c r="S1159" s="26" t="s">
        <v>41</v>
      </c>
    </row>
    <row r="1160" spans="1:19" hidden="1" x14ac:dyDescent="0.25">
      <c r="A1160" s="29">
        <v>5806066</v>
      </c>
      <c r="B1160" s="25" t="s">
        <v>535</v>
      </c>
      <c r="C1160" s="26" t="s">
        <v>12</v>
      </c>
      <c r="D1160" s="24" t="s">
        <v>451</v>
      </c>
      <c r="E1160" s="26" t="s">
        <v>482</v>
      </c>
      <c r="F1160" s="26"/>
      <c r="G1160" s="26" t="s">
        <v>481</v>
      </c>
      <c r="H1160" s="26" t="s">
        <v>536</v>
      </c>
      <c r="I1160" s="26"/>
      <c r="J1160" s="26" t="s">
        <v>18</v>
      </c>
      <c r="K1160" s="26" t="s">
        <v>18</v>
      </c>
      <c r="L1160" s="26" t="s">
        <v>18</v>
      </c>
      <c r="M1160" s="26" t="s">
        <v>19</v>
      </c>
      <c r="N1160" s="26" t="s">
        <v>18</v>
      </c>
      <c r="O1160" s="26" t="s">
        <v>19</v>
      </c>
      <c r="P1160" s="26">
        <v>100.631944</v>
      </c>
      <c r="Q1160" s="26">
        <v>5.8138889999999996</v>
      </c>
      <c r="R1160" s="26"/>
      <c r="S1160" s="26" t="s">
        <v>41</v>
      </c>
    </row>
    <row r="1161" spans="1:19" hidden="1" x14ac:dyDescent="0.25">
      <c r="A1161" s="29">
        <v>5807067</v>
      </c>
      <c r="B1161" s="25" t="s">
        <v>482</v>
      </c>
      <c r="C1161" s="26" t="s">
        <v>12</v>
      </c>
      <c r="D1161" s="24" t="s">
        <v>451</v>
      </c>
      <c r="E1161" s="26" t="s">
        <v>482</v>
      </c>
      <c r="F1161" s="26"/>
      <c r="G1161" s="26" t="s">
        <v>481</v>
      </c>
      <c r="H1161" s="26" t="s">
        <v>536</v>
      </c>
      <c r="I1161" s="26"/>
      <c r="J1161" s="26" t="s">
        <v>18</v>
      </c>
      <c r="K1161" s="26" t="s">
        <v>18</v>
      </c>
      <c r="L1161" s="26" t="s">
        <v>18</v>
      </c>
      <c r="M1161" s="26" t="s">
        <v>19</v>
      </c>
      <c r="N1161" s="26" t="s">
        <v>18</v>
      </c>
      <c r="O1161" s="26" t="s">
        <v>19</v>
      </c>
      <c r="P1161" s="26">
        <v>100.729167</v>
      </c>
      <c r="Q1161" s="26">
        <v>5.8138889999999996</v>
      </c>
      <c r="R1161" s="26"/>
      <c r="S1161" s="26" t="s">
        <v>41</v>
      </c>
    </row>
    <row r="1162" spans="1:19" hidden="1" x14ac:dyDescent="0.25">
      <c r="A1162" s="29">
        <v>5808001</v>
      </c>
      <c r="B1162" s="25" t="s">
        <v>537</v>
      </c>
      <c r="C1162" s="26" t="s">
        <v>12</v>
      </c>
      <c r="D1162" s="24" t="s">
        <v>451</v>
      </c>
      <c r="E1162" s="26" t="s">
        <v>482</v>
      </c>
      <c r="F1162" s="26"/>
      <c r="G1162" s="26" t="s">
        <v>481</v>
      </c>
      <c r="H1162" s="26" t="s">
        <v>538</v>
      </c>
      <c r="I1162" s="26"/>
      <c r="J1162" s="26" t="s">
        <v>18</v>
      </c>
      <c r="K1162" s="26" t="s">
        <v>18</v>
      </c>
      <c r="L1162" s="26" t="s">
        <v>18</v>
      </c>
      <c r="M1162" s="26" t="s">
        <v>19</v>
      </c>
      <c r="N1162" s="26" t="s">
        <v>18</v>
      </c>
      <c r="O1162" s="26" t="s">
        <v>19</v>
      </c>
      <c r="P1162" s="26">
        <v>100.89444399999999</v>
      </c>
      <c r="Q1162" s="26">
        <v>5.8805560000000003</v>
      </c>
      <c r="R1162" s="26"/>
      <c r="S1162" s="26" t="s">
        <v>41</v>
      </c>
    </row>
    <row r="1163" spans="1:19" hidden="1" x14ac:dyDescent="0.25">
      <c r="A1163" s="29">
        <v>5808069</v>
      </c>
      <c r="B1163" s="25" t="s">
        <v>539</v>
      </c>
      <c r="C1163" s="26" t="s">
        <v>12</v>
      </c>
      <c r="D1163" s="24" t="s">
        <v>451</v>
      </c>
      <c r="E1163" s="26" t="s">
        <v>528</v>
      </c>
      <c r="F1163" s="26"/>
      <c r="G1163" s="26" t="s">
        <v>481</v>
      </c>
      <c r="H1163" s="26" t="s">
        <v>522</v>
      </c>
      <c r="I1163" s="26" t="s">
        <v>538</v>
      </c>
      <c r="J1163" s="26" t="s">
        <v>19</v>
      </c>
      <c r="K1163" s="26" t="s">
        <v>19</v>
      </c>
      <c r="L1163" s="26" t="s">
        <v>18</v>
      </c>
      <c r="M1163" s="26" t="s">
        <v>19</v>
      </c>
      <c r="N1163" s="26" t="s">
        <v>19</v>
      </c>
      <c r="O1163" s="26" t="s">
        <v>19</v>
      </c>
      <c r="P1163" s="26">
        <v>100.895833</v>
      </c>
      <c r="Q1163" s="26">
        <v>5.8958329999999997</v>
      </c>
      <c r="R1163" s="26"/>
      <c r="S1163" s="26" t="s">
        <v>41</v>
      </c>
    </row>
    <row r="1164" spans="1:19" hidden="1" x14ac:dyDescent="0.25">
      <c r="A1164" s="29">
        <v>5808070</v>
      </c>
      <c r="B1164" s="25" t="s">
        <v>540</v>
      </c>
      <c r="C1164" s="26" t="s">
        <v>12</v>
      </c>
      <c r="D1164" s="24" t="s">
        <v>451</v>
      </c>
      <c r="E1164" s="26" t="s">
        <v>482</v>
      </c>
      <c r="F1164" s="26"/>
      <c r="G1164" s="26" t="s">
        <v>481</v>
      </c>
      <c r="H1164" s="26" t="s">
        <v>522</v>
      </c>
      <c r="I1164" s="26"/>
      <c r="J1164" s="26" t="s">
        <v>18</v>
      </c>
      <c r="K1164" s="26" t="s">
        <v>18</v>
      </c>
      <c r="L1164" s="26" t="s">
        <v>18</v>
      </c>
      <c r="M1164" s="26" t="s">
        <v>19</v>
      </c>
      <c r="N1164" s="26" t="s">
        <v>19</v>
      </c>
      <c r="O1164" s="26" t="s">
        <v>19</v>
      </c>
      <c r="P1164" s="26">
        <v>100.895833</v>
      </c>
      <c r="Q1164" s="26">
        <v>5.8375000000000004</v>
      </c>
      <c r="R1164" s="26"/>
      <c r="S1164" s="26" t="s">
        <v>41</v>
      </c>
    </row>
    <row r="1165" spans="1:19" hidden="1" x14ac:dyDescent="0.25">
      <c r="A1165" s="28">
        <v>5818001</v>
      </c>
      <c r="B1165" s="15" t="s">
        <v>1095</v>
      </c>
      <c r="C1165" s="19" t="s">
        <v>12</v>
      </c>
      <c r="D1165" s="21" t="s">
        <v>976</v>
      </c>
      <c r="E1165" s="19" t="s">
        <v>1036</v>
      </c>
      <c r="F1165" s="19" t="s">
        <v>1096</v>
      </c>
      <c r="G1165" s="19" t="s">
        <v>1096</v>
      </c>
      <c r="H1165" s="19"/>
      <c r="I1165" s="19"/>
      <c r="J1165" s="19" t="s">
        <v>19</v>
      </c>
      <c r="K1165" s="19" t="s">
        <v>18</v>
      </c>
      <c r="L1165" s="19" t="s">
        <v>19</v>
      </c>
      <c r="M1165" s="19" t="s">
        <v>18</v>
      </c>
      <c r="N1165" s="19" t="s">
        <v>19</v>
      </c>
      <c r="O1165" s="19"/>
      <c r="P1165" s="19">
        <v>101.883056</v>
      </c>
      <c r="Q1165" s="19">
        <v>5.8327780000000002</v>
      </c>
      <c r="R1165" s="19"/>
      <c r="S1165" s="19"/>
    </row>
    <row r="1166" spans="1:19" hidden="1" x14ac:dyDescent="0.25">
      <c r="A1166" s="28">
        <v>5820005</v>
      </c>
      <c r="B1166" s="15" t="s">
        <v>1097</v>
      </c>
      <c r="C1166" s="19" t="s">
        <v>12</v>
      </c>
      <c r="D1166" s="21" t="s">
        <v>976</v>
      </c>
      <c r="E1166" s="19" t="s">
        <v>1036</v>
      </c>
      <c r="F1166" s="19" t="s">
        <v>1096</v>
      </c>
      <c r="G1166" s="19" t="s">
        <v>1066</v>
      </c>
      <c r="H1166" s="19" t="s">
        <v>1098</v>
      </c>
      <c r="I1166" s="19"/>
      <c r="J1166" s="19" t="s">
        <v>18</v>
      </c>
      <c r="K1166" s="19" t="s">
        <v>18</v>
      </c>
      <c r="L1166" s="19" t="s">
        <v>19</v>
      </c>
      <c r="M1166" s="19" t="s">
        <v>19</v>
      </c>
      <c r="N1166" s="19" t="s">
        <v>18</v>
      </c>
      <c r="O1166" s="19"/>
      <c r="P1166" s="19">
        <v>102.020833</v>
      </c>
      <c r="Q1166" s="19">
        <v>5.8125</v>
      </c>
      <c r="R1166" s="19"/>
      <c r="S1166" s="19" t="s">
        <v>544</v>
      </c>
    </row>
    <row r="1167" spans="1:19" hidden="1" x14ac:dyDescent="0.25">
      <c r="A1167" s="28">
        <v>5820006</v>
      </c>
      <c r="B1167" s="15" t="s">
        <v>1099</v>
      </c>
      <c r="C1167" s="19" t="s">
        <v>12</v>
      </c>
      <c r="D1167" s="21" t="s">
        <v>976</v>
      </c>
      <c r="E1167" s="19" t="s">
        <v>1036</v>
      </c>
      <c r="F1167" s="19" t="s">
        <v>1100</v>
      </c>
      <c r="G1167" s="19" t="s">
        <v>976</v>
      </c>
      <c r="H1167" s="19" t="s">
        <v>1101</v>
      </c>
      <c r="I1167" s="19"/>
      <c r="J1167" s="19" t="s">
        <v>18</v>
      </c>
      <c r="K1167" s="19" t="s">
        <v>18</v>
      </c>
      <c r="L1167" s="19" t="s">
        <v>19</v>
      </c>
      <c r="M1167" s="19" t="s">
        <v>19</v>
      </c>
      <c r="N1167" s="19" t="s">
        <v>18</v>
      </c>
      <c r="O1167" s="19"/>
      <c r="P1167" s="19">
        <v>102.073611</v>
      </c>
      <c r="Q1167" s="19">
        <v>5.8444440000000002</v>
      </c>
      <c r="R1167" s="19"/>
      <c r="S1167" s="19" t="s">
        <v>41</v>
      </c>
    </row>
    <row r="1168" spans="1:19" ht="30" hidden="1" x14ac:dyDescent="0.25">
      <c r="A1168" s="28">
        <v>5821007</v>
      </c>
      <c r="B1168" s="15" t="s">
        <v>1102</v>
      </c>
      <c r="C1168" s="19" t="s">
        <v>12</v>
      </c>
      <c r="D1168" s="21" t="s">
        <v>976</v>
      </c>
      <c r="E1168" s="19" t="s">
        <v>1036</v>
      </c>
      <c r="F1168" s="19" t="s">
        <v>1012</v>
      </c>
      <c r="G1168" s="19" t="s">
        <v>976</v>
      </c>
      <c r="H1168" s="19" t="s">
        <v>1083</v>
      </c>
      <c r="I1168" s="19"/>
      <c r="J1168" s="19" t="s">
        <v>18</v>
      </c>
      <c r="K1168" s="19" t="s">
        <v>18</v>
      </c>
      <c r="L1168" s="19" t="s">
        <v>19</v>
      </c>
      <c r="M1168" s="19" t="s">
        <v>19</v>
      </c>
      <c r="N1168" s="19" t="s">
        <v>18</v>
      </c>
      <c r="O1168" s="19"/>
      <c r="P1168" s="19">
        <v>102.158333</v>
      </c>
      <c r="Q1168" s="19">
        <v>5.891667</v>
      </c>
      <c r="R1168" s="19"/>
      <c r="S1168" s="19" t="s">
        <v>41</v>
      </c>
    </row>
    <row r="1169" spans="1:19" hidden="1" x14ac:dyDescent="0.25">
      <c r="A1169" s="28">
        <v>5823001</v>
      </c>
      <c r="B1169" s="15" t="s">
        <v>1103</v>
      </c>
      <c r="C1169" s="19" t="s">
        <v>12</v>
      </c>
      <c r="D1169" s="21" t="s">
        <v>976</v>
      </c>
      <c r="E1169" s="19" t="s">
        <v>1087</v>
      </c>
      <c r="F1169" s="19" t="s">
        <v>1104</v>
      </c>
      <c r="G1169" s="19" t="s">
        <v>1089</v>
      </c>
      <c r="H1169" s="19" t="s">
        <v>1105</v>
      </c>
      <c r="I1169" s="19"/>
      <c r="J1169" s="19" t="s">
        <v>18</v>
      </c>
      <c r="K1169" s="19" t="s">
        <v>18</v>
      </c>
      <c r="L1169" s="19" t="s">
        <v>19</v>
      </c>
      <c r="M1169" s="19" t="s">
        <v>19</v>
      </c>
      <c r="N1169" s="19" t="s">
        <v>18</v>
      </c>
      <c r="O1169" s="19"/>
      <c r="P1169" s="19">
        <v>102.344444</v>
      </c>
      <c r="Q1169" s="19">
        <v>5.8638890000000004</v>
      </c>
      <c r="R1169" s="19"/>
      <c r="S1169" s="19" t="s">
        <v>1106</v>
      </c>
    </row>
    <row r="1170" spans="1:19" hidden="1" x14ac:dyDescent="0.25">
      <c r="A1170" s="28">
        <v>5823076</v>
      </c>
      <c r="B1170" s="15" t="s">
        <v>1107</v>
      </c>
      <c r="C1170" s="19" t="s">
        <v>12</v>
      </c>
      <c r="D1170" s="21" t="s">
        <v>976</v>
      </c>
      <c r="E1170" s="19" t="s">
        <v>1087</v>
      </c>
      <c r="F1170" s="19" t="s">
        <v>1104</v>
      </c>
      <c r="G1170" s="19" t="s">
        <v>1089</v>
      </c>
      <c r="H1170" s="19" t="s">
        <v>822</v>
      </c>
      <c r="I1170" s="19"/>
      <c r="J1170" s="19" t="s">
        <v>18</v>
      </c>
      <c r="K1170" s="19" t="s">
        <v>18</v>
      </c>
      <c r="L1170" s="19" t="s">
        <v>19</v>
      </c>
      <c r="M1170" s="19" t="s">
        <v>19</v>
      </c>
      <c r="N1170" s="19" t="s">
        <v>18</v>
      </c>
      <c r="O1170" s="19"/>
      <c r="P1170" s="19">
        <v>102.316667</v>
      </c>
      <c r="Q1170" s="19">
        <v>5.8611110000000002</v>
      </c>
      <c r="R1170" s="19"/>
      <c r="S1170" s="19" t="s">
        <v>41</v>
      </c>
    </row>
    <row r="1171" spans="1:19" hidden="1" x14ac:dyDescent="0.25">
      <c r="A1171" s="28">
        <v>5823077</v>
      </c>
      <c r="B1171" s="15" t="s">
        <v>1108</v>
      </c>
      <c r="C1171" s="19" t="s">
        <v>12</v>
      </c>
      <c r="D1171" s="21" t="s">
        <v>976</v>
      </c>
      <c r="E1171" s="19" t="s">
        <v>1087</v>
      </c>
      <c r="F1171" s="19" t="s">
        <v>1104</v>
      </c>
      <c r="G1171" s="19" t="s">
        <v>1089</v>
      </c>
      <c r="H1171" s="19" t="s">
        <v>1109</v>
      </c>
      <c r="I1171" s="19"/>
      <c r="J1171" s="19" t="s">
        <v>18</v>
      </c>
      <c r="K1171" s="19" t="s">
        <v>18</v>
      </c>
      <c r="L1171" s="19" t="s">
        <v>19</v>
      </c>
      <c r="M1171" s="19" t="s">
        <v>19</v>
      </c>
      <c r="N1171" s="19" t="s">
        <v>18</v>
      </c>
      <c r="O1171" s="19"/>
      <c r="P1171" s="19">
        <v>102.363889</v>
      </c>
      <c r="Q1171" s="19">
        <v>5.8180560000000003</v>
      </c>
      <c r="R1171" s="19"/>
      <c r="S1171" s="19" t="s">
        <v>20</v>
      </c>
    </row>
    <row r="1172" spans="1:19" hidden="1" x14ac:dyDescent="0.25">
      <c r="A1172" s="28">
        <v>5824079</v>
      </c>
      <c r="B1172" s="15" t="s">
        <v>1110</v>
      </c>
      <c r="C1172" s="19" t="s">
        <v>12</v>
      </c>
      <c r="D1172" s="21" t="s">
        <v>976</v>
      </c>
      <c r="E1172" s="19" t="s">
        <v>1087</v>
      </c>
      <c r="F1172" s="19" t="s">
        <v>150</v>
      </c>
      <c r="G1172" s="19" t="s">
        <v>1089</v>
      </c>
      <c r="H1172" s="19" t="s">
        <v>1111</v>
      </c>
      <c r="I1172" s="19"/>
      <c r="J1172" s="19" t="s">
        <v>19</v>
      </c>
      <c r="K1172" s="19" t="s">
        <v>18</v>
      </c>
      <c r="L1172" s="19" t="s">
        <v>19</v>
      </c>
      <c r="M1172" s="19" t="s">
        <v>19</v>
      </c>
      <c r="N1172" s="19" t="s">
        <v>18</v>
      </c>
      <c r="O1172" s="19"/>
      <c r="P1172" s="19">
        <v>102.415278</v>
      </c>
      <c r="Q1172" s="19">
        <v>5.8305559999999996</v>
      </c>
      <c r="R1172" s="19"/>
      <c r="S1172" s="19" t="s">
        <v>41</v>
      </c>
    </row>
    <row r="1173" spans="1:19" hidden="1" x14ac:dyDescent="0.25">
      <c r="A1173" s="28">
        <v>5824080</v>
      </c>
      <c r="B1173" s="15" t="s">
        <v>1112</v>
      </c>
      <c r="C1173" s="19" t="s">
        <v>12</v>
      </c>
      <c r="D1173" s="21" t="s">
        <v>976</v>
      </c>
      <c r="E1173" s="19" t="s">
        <v>1087</v>
      </c>
      <c r="F1173" s="19" t="s">
        <v>1104</v>
      </c>
      <c r="G1173" s="19" t="s">
        <v>1089</v>
      </c>
      <c r="H1173" s="19"/>
      <c r="I1173" s="19"/>
      <c r="J1173" s="19" t="s">
        <v>18</v>
      </c>
      <c r="K1173" s="19" t="s">
        <v>18</v>
      </c>
      <c r="L1173" s="19" t="s">
        <v>19</v>
      </c>
      <c r="M1173" s="19" t="s">
        <v>18</v>
      </c>
      <c r="N1173" s="19" t="s">
        <v>18</v>
      </c>
      <c r="O1173" s="19"/>
      <c r="P1173" s="19">
        <v>102.494444</v>
      </c>
      <c r="Q1173" s="19">
        <v>5.8597219999999997</v>
      </c>
      <c r="R1173" s="19"/>
      <c r="S1173" s="19"/>
    </row>
    <row r="1174" spans="1:19" hidden="1" x14ac:dyDescent="0.25">
      <c r="A1174" s="28">
        <v>5824081</v>
      </c>
      <c r="B1174" s="15" t="s">
        <v>1113</v>
      </c>
      <c r="C1174" s="19" t="s">
        <v>12</v>
      </c>
      <c r="D1174" s="21" t="s">
        <v>976</v>
      </c>
      <c r="E1174" s="19" t="s">
        <v>1087</v>
      </c>
      <c r="F1174" s="19"/>
      <c r="G1174" s="19" t="s">
        <v>1089</v>
      </c>
      <c r="H1174" s="19" t="s">
        <v>1114</v>
      </c>
      <c r="I1174" s="19"/>
      <c r="J1174" s="19" t="s">
        <v>18</v>
      </c>
      <c r="K1174" s="19" t="s">
        <v>18</v>
      </c>
      <c r="L1174" s="19" t="s">
        <v>19</v>
      </c>
      <c r="M1174" s="19" t="s">
        <v>19</v>
      </c>
      <c r="N1174" s="19" t="s">
        <v>18</v>
      </c>
      <c r="O1174" s="19"/>
      <c r="P1174" s="19">
        <v>102.415278</v>
      </c>
      <c r="Q1174" s="19">
        <v>5.8305559999999996</v>
      </c>
      <c r="R1174" s="19"/>
      <c r="S1174" s="19"/>
    </row>
    <row r="1175" spans="1:19" hidden="1" x14ac:dyDescent="0.25">
      <c r="A1175" s="29">
        <v>5903151</v>
      </c>
      <c r="B1175" s="25" t="s">
        <v>2633</v>
      </c>
      <c r="C1175" s="26" t="s">
        <v>12</v>
      </c>
      <c r="D1175" s="24" t="s">
        <v>451</v>
      </c>
      <c r="E1175" s="26" t="s">
        <v>452</v>
      </c>
      <c r="F1175" s="26"/>
      <c r="G1175" s="26" t="s">
        <v>525</v>
      </c>
      <c r="H1175" s="26" t="s">
        <v>541</v>
      </c>
      <c r="I1175" s="26"/>
      <c r="J1175" s="26" t="s">
        <v>19</v>
      </c>
      <c r="K1175" s="26" t="s">
        <v>18</v>
      </c>
      <c r="L1175" s="26" t="s">
        <v>18</v>
      </c>
      <c r="M1175" s="26" t="s">
        <v>19</v>
      </c>
      <c r="N1175" s="26" t="s">
        <v>19</v>
      </c>
      <c r="O1175" s="26" t="s">
        <v>19</v>
      </c>
      <c r="P1175" s="26">
        <v>100.358333</v>
      </c>
      <c r="Q1175" s="26">
        <v>5.9708329999999998</v>
      </c>
      <c r="R1175" s="26"/>
      <c r="S1175" s="26" t="s">
        <v>41</v>
      </c>
    </row>
    <row r="1176" spans="1:19" hidden="1" x14ac:dyDescent="0.25">
      <c r="A1176" s="29">
        <v>5904043</v>
      </c>
      <c r="B1176" s="25" t="s">
        <v>542</v>
      </c>
      <c r="C1176" s="26" t="s">
        <v>12</v>
      </c>
      <c r="D1176" s="24" t="s">
        <v>451</v>
      </c>
      <c r="E1176" s="26" t="s">
        <v>452</v>
      </c>
      <c r="F1176" s="26"/>
      <c r="G1176" s="26" t="s">
        <v>525</v>
      </c>
      <c r="H1176" s="26" t="s">
        <v>494</v>
      </c>
      <c r="I1176" s="26"/>
      <c r="J1176" s="26" t="s">
        <v>19</v>
      </c>
      <c r="K1176" s="26" t="s">
        <v>18</v>
      </c>
      <c r="L1176" s="26" t="s">
        <v>18</v>
      </c>
      <c r="M1176" s="26" t="s">
        <v>19</v>
      </c>
      <c r="N1176" s="26" t="s">
        <v>19</v>
      </c>
      <c r="O1176" s="26" t="s">
        <v>19</v>
      </c>
      <c r="P1176" s="26">
        <v>100.48055600000001</v>
      </c>
      <c r="Q1176" s="26">
        <v>5.9944439999999997</v>
      </c>
      <c r="R1176" s="26"/>
      <c r="S1176" s="26" t="s">
        <v>41</v>
      </c>
    </row>
    <row r="1177" spans="1:19" hidden="1" x14ac:dyDescent="0.25">
      <c r="A1177" s="29">
        <v>5904051</v>
      </c>
      <c r="B1177" s="25" t="s">
        <v>543</v>
      </c>
      <c r="C1177" s="26" t="s">
        <v>12</v>
      </c>
      <c r="D1177" s="24" t="s">
        <v>451</v>
      </c>
      <c r="E1177" s="26" t="s">
        <v>452</v>
      </c>
      <c r="F1177" s="26"/>
      <c r="G1177" s="26" t="s">
        <v>525</v>
      </c>
      <c r="H1177" s="26" t="s">
        <v>526</v>
      </c>
      <c r="I1177" s="26"/>
      <c r="J1177" s="26" t="s">
        <v>19</v>
      </c>
      <c r="K1177" s="26" t="s">
        <v>18</v>
      </c>
      <c r="L1177" s="26" t="s">
        <v>18</v>
      </c>
      <c r="M1177" s="26" t="s">
        <v>19</v>
      </c>
      <c r="N1177" s="26" t="s">
        <v>19</v>
      </c>
      <c r="O1177" s="26" t="s">
        <v>19</v>
      </c>
      <c r="P1177" s="26">
        <v>100.40138899999999</v>
      </c>
      <c r="Q1177" s="26">
        <v>5.9694440000000002</v>
      </c>
      <c r="R1177" s="26"/>
      <c r="S1177" s="26" t="s">
        <v>544</v>
      </c>
    </row>
    <row r="1178" spans="1:19" hidden="1" x14ac:dyDescent="0.25">
      <c r="A1178" s="29">
        <v>5904152</v>
      </c>
      <c r="B1178" s="25" t="s">
        <v>545</v>
      </c>
      <c r="C1178" s="26" t="s">
        <v>12</v>
      </c>
      <c r="D1178" s="24" t="s">
        <v>451</v>
      </c>
      <c r="E1178" s="26" t="s">
        <v>528</v>
      </c>
      <c r="F1178" s="26"/>
      <c r="G1178" s="26" t="s">
        <v>525</v>
      </c>
      <c r="H1178" s="26" t="s">
        <v>541</v>
      </c>
      <c r="I1178" s="26" t="s">
        <v>23</v>
      </c>
      <c r="J1178" s="26" t="s">
        <v>19</v>
      </c>
      <c r="K1178" s="26" t="s">
        <v>19</v>
      </c>
      <c r="L1178" s="26" t="s">
        <v>18</v>
      </c>
      <c r="M1178" s="26" t="s">
        <v>19</v>
      </c>
      <c r="N1178" s="26" t="s">
        <v>19</v>
      </c>
      <c r="O1178" s="26" t="s">
        <v>19</v>
      </c>
      <c r="P1178" s="26">
        <v>100.427778</v>
      </c>
      <c r="Q1178" s="26">
        <v>5.9166670000000003</v>
      </c>
      <c r="R1178" s="26"/>
      <c r="S1178" s="26" t="s">
        <v>41</v>
      </c>
    </row>
    <row r="1179" spans="1:19" hidden="1" x14ac:dyDescent="0.25">
      <c r="A1179" s="28">
        <v>5919003</v>
      </c>
      <c r="B1179" s="15" t="s">
        <v>1115</v>
      </c>
      <c r="C1179" s="19" t="s">
        <v>12</v>
      </c>
      <c r="D1179" s="21" t="s">
        <v>976</v>
      </c>
      <c r="E1179" s="19" t="s">
        <v>1116</v>
      </c>
      <c r="F1179" s="19" t="s">
        <v>1096</v>
      </c>
      <c r="G1179" s="19" t="s">
        <v>1066</v>
      </c>
      <c r="H1179" s="19" t="s">
        <v>1117</v>
      </c>
      <c r="I1179" s="19"/>
      <c r="J1179" s="19" t="s">
        <v>19</v>
      </c>
      <c r="K1179" s="19" t="s">
        <v>18</v>
      </c>
      <c r="L1179" s="19" t="s">
        <v>19</v>
      </c>
      <c r="M1179" s="19" t="s">
        <v>19</v>
      </c>
      <c r="N1179" s="19" t="s">
        <v>18</v>
      </c>
      <c r="O1179" s="19"/>
      <c r="P1179" s="19">
        <v>101.958333</v>
      </c>
      <c r="Q1179" s="19">
        <v>5.9263890000000004</v>
      </c>
      <c r="R1179" s="19"/>
      <c r="S1179" s="19" t="s">
        <v>41</v>
      </c>
    </row>
    <row r="1180" spans="1:19" hidden="1" x14ac:dyDescent="0.25">
      <c r="A1180" s="28">
        <v>5920008</v>
      </c>
      <c r="B1180" s="15" t="s">
        <v>1118</v>
      </c>
      <c r="C1180" s="19" t="s">
        <v>12</v>
      </c>
      <c r="D1180" s="21" t="s">
        <v>976</v>
      </c>
      <c r="E1180" s="19" t="s">
        <v>1116</v>
      </c>
      <c r="F1180" s="19" t="s">
        <v>1096</v>
      </c>
      <c r="G1180" s="19"/>
      <c r="H1180" s="19"/>
      <c r="I1180" s="19"/>
      <c r="J1180" s="19" t="s">
        <v>19</v>
      </c>
      <c r="K1180" s="19" t="s">
        <v>19</v>
      </c>
      <c r="L1180" s="19" t="s">
        <v>18</v>
      </c>
      <c r="M1180" s="19" t="s">
        <v>19</v>
      </c>
      <c r="N1180" s="19" t="s">
        <v>19</v>
      </c>
      <c r="O1180" s="19"/>
      <c r="P1180" s="19">
        <v>102.082114</v>
      </c>
      <c r="Q1180" s="19">
        <v>5.9568060000000003</v>
      </c>
      <c r="R1180" s="19"/>
      <c r="S1180" s="19"/>
    </row>
    <row r="1181" spans="1:19" hidden="1" x14ac:dyDescent="0.25">
      <c r="A1181" s="28">
        <v>5920011</v>
      </c>
      <c r="B1181" s="15" t="s">
        <v>1119</v>
      </c>
      <c r="C1181" s="19" t="s">
        <v>12</v>
      </c>
      <c r="D1181" s="21" t="s">
        <v>976</v>
      </c>
      <c r="E1181" s="19" t="s">
        <v>1120</v>
      </c>
      <c r="F1181" s="19" t="s">
        <v>1121</v>
      </c>
      <c r="G1181" s="19" t="s">
        <v>1066</v>
      </c>
      <c r="H1181" s="19" t="s">
        <v>1122</v>
      </c>
      <c r="I1181" s="19"/>
      <c r="J1181" s="19" t="s">
        <v>19</v>
      </c>
      <c r="K1181" s="19" t="s">
        <v>18</v>
      </c>
      <c r="L1181" s="19" t="s">
        <v>18</v>
      </c>
      <c r="M1181" s="19" t="s">
        <v>19</v>
      </c>
      <c r="N1181" s="19" t="s">
        <v>18</v>
      </c>
      <c r="O1181" s="19"/>
      <c r="P1181" s="19">
        <v>102.027044</v>
      </c>
      <c r="Q1181" s="19">
        <v>5.9203809999999999</v>
      </c>
      <c r="R1181" s="19"/>
      <c r="S1181" s="19"/>
    </row>
    <row r="1182" spans="1:19" hidden="1" x14ac:dyDescent="0.25">
      <c r="A1182" s="28">
        <v>5920012</v>
      </c>
      <c r="B1182" s="15" t="s">
        <v>1123</v>
      </c>
      <c r="C1182" s="19" t="s">
        <v>12</v>
      </c>
      <c r="D1182" s="21" t="s">
        <v>976</v>
      </c>
      <c r="E1182" s="19" t="s">
        <v>1124</v>
      </c>
      <c r="F1182" s="19" t="s">
        <v>1125</v>
      </c>
      <c r="G1182" s="19" t="s">
        <v>1066</v>
      </c>
      <c r="H1182" s="19" t="s">
        <v>510</v>
      </c>
      <c r="I1182" s="19"/>
      <c r="J1182" s="19" t="s">
        <v>18</v>
      </c>
      <c r="K1182" s="19" t="s">
        <v>18</v>
      </c>
      <c r="L1182" s="19" t="s">
        <v>19</v>
      </c>
      <c r="M1182" s="19" t="s">
        <v>19</v>
      </c>
      <c r="N1182" s="19" t="s">
        <v>18</v>
      </c>
      <c r="O1182" s="19"/>
      <c r="P1182" s="19">
        <v>102.03749999999999</v>
      </c>
      <c r="Q1182" s="19">
        <v>5.9166670000000003</v>
      </c>
      <c r="R1182" s="19"/>
      <c r="S1182" s="19" t="s">
        <v>41</v>
      </c>
    </row>
    <row r="1183" spans="1:19" hidden="1" x14ac:dyDescent="0.25">
      <c r="A1183" s="28">
        <v>5921009</v>
      </c>
      <c r="B1183" s="15" t="s">
        <v>1126</v>
      </c>
      <c r="C1183" s="19" t="s">
        <v>12</v>
      </c>
      <c r="D1183" s="21" t="s">
        <v>976</v>
      </c>
      <c r="E1183" s="19" t="s">
        <v>1127</v>
      </c>
      <c r="F1183" s="19" t="s">
        <v>1100</v>
      </c>
      <c r="G1183" s="19" t="s">
        <v>1066</v>
      </c>
      <c r="H1183" s="19" t="s">
        <v>1083</v>
      </c>
      <c r="I1183" s="19"/>
      <c r="J1183" s="19" t="s">
        <v>18</v>
      </c>
      <c r="K1183" s="19" t="s">
        <v>18</v>
      </c>
      <c r="L1183" s="19" t="s">
        <v>19</v>
      </c>
      <c r="M1183" s="19" t="s">
        <v>19</v>
      </c>
      <c r="N1183" s="19" t="s">
        <v>18</v>
      </c>
      <c r="O1183" s="19"/>
      <c r="P1183" s="19">
        <v>102.1375</v>
      </c>
      <c r="Q1183" s="19">
        <v>5.9694440000000002</v>
      </c>
      <c r="R1183" s="19"/>
      <c r="S1183" s="19" t="s">
        <v>1106</v>
      </c>
    </row>
    <row r="1184" spans="1:19" hidden="1" x14ac:dyDescent="0.25">
      <c r="A1184" s="28">
        <v>5922001</v>
      </c>
      <c r="B1184" s="15" t="s">
        <v>1128</v>
      </c>
      <c r="C1184" s="19" t="s">
        <v>12</v>
      </c>
      <c r="D1184" s="21" t="s">
        <v>976</v>
      </c>
      <c r="E1184" s="19" t="s">
        <v>1129</v>
      </c>
      <c r="F1184" s="19" t="s">
        <v>1130</v>
      </c>
      <c r="G1184" s="19" t="s">
        <v>1089</v>
      </c>
      <c r="H1184" s="19" t="s">
        <v>807</v>
      </c>
      <c r="I1184" s="19"/>
      <c r="J1184" s="19" t="s">
        <v>18</v>
      </c>
      <c r="K1184" s="19" t="s">
        <v>18</v>
      </c>
      <c r="L1184" s="19" t="s">
        <v>19</v>
      </c>
      <c r="M1184" s="19" t="s">
        <v>19</v>
      </c>
      <c r="N1184" s="19" t="s">
        <v>18</v>
      </c>
      <c r="O1184" s="19"/>
      <c r="P1184" s="19">
        <v>102.291667</v>
      </c>
      <c r="Q1184" s="19">
        <v>5.963889</v>
      </c>
      <c r="R1184" s="19"/>
      <c r="S1184" s="19" t="s">
        <v>544</v>
      </c>
    </row>
    <row r="1185" spans="1:19" hidden="1" x14ac:dyDescent="0.25">
      <c r="A1185" s="28">
        <v>5922075</v>
      </c>
      <c r="B1185" s="15" t="s">
        <v>1131</v>
      </c>
      <c r="C1185" s="19" t="s">
        <v>12</v>
      </c>
      <c r="D1185" s="21" t="s">
        <v>976</v>
      </c>
      <c r="E1185" s="19" t="s">
        <v>1129</v>
      </c>
      <c r="F1185" s="19" t="s">
        <v>1130</v>
      </c>
      <c r="G1185" s="19" t="s">
        <v>1089</v>
      </c>
      <c r="H1185" s="19" t="s">
        <v>1132</v>
      </c>
      <c r="I1185" s="19" t="s">
        <v>1133</v>
      </c>
      <c r="J1185" s="19" t="s">
        <v>19</v>
      </c>
      <c r="K1185" s="19" t="s">
        <v>19</v>
      </c>
      <c r="L1185" s="19" t="s">
        <v>18</v>
      </c>
      <c r="M1185" s="19" t="s">
        <v>19</v>
      </c>
      <c r="N1185" s="19" t="s">
        <v>19</v>
      </c>
      <c r="O1185" s="19"/>
      <c r="P1185" s="19">
        <v>102.29861099999999</v>
      </c>
      <c r="Q1185" s="19">
        <v>5.9666670000000002</v>
      </c>
      <c r="R1185" s="19"/>
      <c r="S1185" s="19" t="s">
        <v>544</v>
      </c>
    </row>
    <row r="1186" spans="1:19" hidden="1" x14ac:dyDescent="0.25">
      <c r="A1186" s="28">
        <v>5923001</v>
      </c>
      <c r="B1186" s="15" t="s">
        <v>1134</v>
      </c>
      <c r="C1186" s="19" t="s">
        <v>12</v>
      </c>
      <c r="D1186" s="21" t="s">
        <v>976</v>
      </c>
      <c r="E1186" s="19" t="s">
        <v>1135</v>
      </c>
      <c r="F1186" s="19" t="s">
        <v>1130</v>
      </c>
      <c r="G1186" s="19" t="s">
        <v>992</v>
      </c>
      <c r="H1186" s="19" t="s">
        <v>1136</v>
      </c>
      <c r="I1186" s="19"/>
      <c r="J1186" s="19" t="s">
        <v>18</v>
      </c>
      <c r="K1186" s="19" t="s">
        <v>18</v>
      </c>
      <c r="L1186" s="19" t="s">
        <v>19</v>
      </c>
      <c r="M1186" s="19" t="s">
        <v>19</v>
      </c>
      <c r="N1186" s="19" t="s">
        <v>18</v>
      </c>
      <c r="O1186" s="19"/>
      <c r="P1186" s="19">
        <v>102.341667</v>
      </c>
      <c r="Q1186" s="19">
        <v>5.9416669999999998</v>
      </c>
      <c r="R1186" s="19"/>
      <c r="S1186" s="19" t="s">
        <v>1106</v>
      </c>
    </row>
    <row r="1187" spans="1:19" hidden="1" x14ac:dyDescent="0.25">
      <c r="A1187" s="28">
        <v>5923081</v>
      </c>
      <c r="B1187" s="15" t="s">
        <v>1137</v>
      </c>
      <c r="C1187" s="19" t="s">
        <v>12</v>
      </c>
      <c r="D1187" s="21" t="s">
        <v>976</v>
      </c>
      <c r="E1187" s="19" t="s">
        <v>1087</v>
      </c>
      <c r="F1187" s="19" t="s">
        <v>1104</v>
      </c>
      <c r="G1187" s="19" t="s">
        <v>1089</v>
      </c>
      <c r="H1187" s="19" t="s">
        <v>552</v>
      </c>
      <c r="I1187" s="19"/>
      <c r="J1187" s="19" t="s">
        <v>18</v>
      </c>
      <c r="K1187" s="19" t="s">
        <v>18</v>
      </c>
      <c r="L1187" s="19" t="s">
        <v>19</v>
      </c>
      <c r="M1187" s="19" t="s">
        <v>19</v>
      </c>
      <c r="N1187" s="19" t="s">
        <v>18</v>
      </c>
      <c r="O1187" s="19"/>
      <c r="P1187" s="19">
        <v>102.381944</v>
      </c>
      <c r="Q1187" s="19">
        <v>5.9041670000000002</v>
      </c>
      <c r="R1187" s="19"/>
      <c r="S1187" s="19" t="s">
        <v>41</v>
      </c>
    </row>
    <row r="1188" spans="1:19" hidden="1" x14ac:dyDescent="0.25">
      <c r="A1188" s="29">
        <v>6003049</v>
      </c>
      <c r="B1188" s="25" t="s">
        <v>546</v>
      </c>
      <c r="C1188" s="26" t="s">
        <v>12</v>
      </c>
      <c r="D1188" s="24" t="s">
        <v>451</v>
      </c>
      <c r="E1188" s="26" t="s">
        <v>452</v>
      </c>
      <c r="F1188" s="26"/>
      <c r="G1188" s="26" t="s">
        <v>525</v>
      </c>
      <c r="H1188" s="26" t="s">
        <v>526</v>
      </c>
      <c r="I1188" s="26"/>
      <c r="J1188" s="26" t="s">
        <v>19</v>
      </c>
      <c r="K1188" s="26" t="s">
        <v>18</v>
      </c>
      <c r="L1188" s="26" t="s">
        <v>18</v>
      </c>
      <c r="M1188" s="26" t="s">
        <v>19</v>
      </c>
      <c r="N1188" s="26" t="s">
        <v>19</v>
      </c>
      <c r="O1188" s="26" t="s">
        <v>19</v>
      </c>
      <c r="P1188" s="26">
        <v>100.333333</v>
      </c>
      <c r="Q1188" s="26">
        <v>6.0958329999999998</v>
      </c>
      <c r="R1188" s="26"/>
      <c r="S1188" s="26" t="s">
        <v>544</v>
      </c>
    </row>
    <row r="1189" spans="1:19" hidden="1" x14ac:dyDescent="0.25">
      <c r="A1189" s="29">
        <v>6004045</v>
      </c>
      <c r="B1189" s="25" t="s">
        <v>547</v>
      </c>
      <c r="C1189" s="26" t="s">
        <v>12</v>
      </c>
      <c r="D1189" s="24" t="s">
        <v>451</v>
      </c>
      <c r="E1189" s="26" t="s">
        <v>452</v>
      </c>
      <c r="F1189" s="26"/>
      <c r="G1189" s="26" t="s">
        <v>525</v>
      </c>
      <c r="H1189" s="26" t="s">
        <v>548</v>
      </c>
      <c r="I1189" s="26"/>
      <c r="J1189" s="26" t="s">
        <v>18</v>
      </c>
      <c r="K1189" s="26" t="s">
        <v>18</v>
      </c>
      <c r="L1189" s="26" t="s">
        <v>18</v>
      </c>
      <c r="M1189" s="26" t="s">
        <v>19</v>
      </c>
      <c r="N1189" s="26" t="s">
        <v>18</v>
      </c>
      <c r="O1189" s="26" t="s">
        <v>19</v>
      </c>
      <c r="P1189" s="26">
        <v>100.41111100000001</v>
      </c>
      <c r="Q1189" s="26">
        <v>6.0291670000000002</v>
      </c>
      <c r="R1189" s="26"/>
      <c r="S1189" s="26" t="s">
        <v>41</v>
      </c>
    </row>
    <row r="1190" spans="1:19" hidden="1" x14ac:dyDescent="0.25">
      <c r="A1190" s="29">
        <v>6005001</v>
      </c>
      <c r="B1190" s="25" t="s">
        <v>549</v>
      </c>
      <c r="C1190" s="26" t="s">
        <v>12</v>
      </c>
      <c r="D1190" s="24" t="s">
        <v>451</v>
      </c>
      <c r="E1190" s="26" t="s">
        <v>452</v>
      </c>
      <c r="F1190" s="26" t="s">
        <v>525</v>
      </c>
      <c r="G1190" s="26" t="s">
        <v>525</v>
      </c>
      <c r="H1190" s="26" t="s">
        <v>530</v>
      </c>
      <c r="I1190" s="26"/>
      <c r="J1190" s="26" t="s">
        <v>18</v>
      </c>
      <c r="K1190" s="26" t="s">
        <v>18</v>
      </c>
      <c r="L1190" s="26" t="s">
        <v>18</v>
      </c>
      <c r="M1190" s="26" t="s">
        <v>19</v>
      </c>
      <c r="N1190" s="26" t="s">
        <v>19</v>
      </c>
      <c r="O1190" s="26" t="s">
        <v>19</v>
      </c>
      <c r="P1190" s="26">
        <v>100.566667</v>
      </c>
      <c r="Q1190" s="26">
        <v>6.036111</v>
      </c>
      <c r="R1190" s="26"/>
      <c r="S1190" s="26" t="s">
        <v>41</v>
      </c>
    </row>
    <row r="1191" spans="1:19" hidden="1" x14ac:dyDescent="0.25">
      <c r="A1191" s="29">
        <v>6005044</v>
      </c>
      <c r="B1191" s="25" t="s">
        <v>550</v>
      </c>
      <c r="C1191" s="26" t="s">
        <v>12</v>
      </c>
      <c r="D1191" s="24" t="s">
        <v>451</v>
      </c>
      <c r="E1191" s="26" t="s">
        <v>452</v>
      </c>
      <c r="F1191" s="26" t="s">
        <v>525</v>
      </c>
      <c r="G1191" s="26" t="s">
        <v>525</v>
      </c>
      <c r="H1191" s="26" t="s">
        <v>462</v>
      </c>
      <c r="I1191" s="26"/>
      <c r="J1191" s="26" t="s">
        <v>18</v>
      </c>
      <c r="K1191" s="26" t="s">
        <v>18</v>
      </c>
      <c r="L1191" s="26" t="s">
        <v>18</v>
      </c>
      <c r="M1191" s="26" t="s">
        <v>19</v>
      </c>
      <c r="N1191" s="26" t="s">
        <v>18</v>
      </c>
      <c r="O1191" s="26" t="s">
        <v>19</v>
      </c>
      <c r="P1191" s="26">
        <v>100.504167</v>
      </c>
      <c r="Q1191" s="26">
        <v>6.045833</v>
      </c>
      <c r="R1191" s="26"/>
      <c r="S1191" s="26" t="s">
        <v>41</v>
      </c>
    </row>
    <row r="1192" spans="1:19" hidden="1" x14ac:dyDescent="0.25">
      <c r="A1192" s="29">
        <v>6007063</v>
      </c>
      <c r="B1192" s="25" t="s">
        <v>551</v>
      </c>
      <c r="C1192" s="26" t="s">
        <v>12</v>
      </c>
      <c r="D1192" s="24" t="s">
        <v>451</v>
      </c>
      <c r="E1192" s="26" t="s">
        <v>456</v>
      </c>
      <c r="F1192" s="26" t="s">
        <v>525</v>
      </c>
      <c r="G1192" s="26" t="s">
        <v>481</v>
      </c>
      <c r="H1192" s="26" t="s">
        <v>552</v>
      </c>
      <c r="I1192" s="26" t="s">
        <v>530</v>
      </c>
      <c r="J1192" s="26" t="s">
        <v>19</v>
      </c>
      <c r="K1192" s="26" t="s">
        <v>19</v>
      </c>
      <c r="L1192" s="26" t="s">
        <v>19</v>
      </c>
      <c r="M1192" s="26" t="s">
        <v>19</v>
      </c>
      <c r="N1192" s="26" t="s">
        <v>18</v>
      </c>
      <c r="O1192" s="26" t="s">
        <v>19</v>
      </c>
      <c r="P1192" s="26">
        <v>100.765278</v>
      </c>
      <c r="Q1192" s="26">
        <v>6.0555560000000002</v>
      </c>
      <c r="R1192" s="26"/>
      <c r="S1192" s="26" t="s">
        <v>41</v>
      </c>
    </row>
    <row r="1193" spans="1:19" hidden="1" x14ac:dyDescent="0.25">
      <c r="A1193" s="28">
        <v>6019004</v>
      </c>
      <c r="B1193" s="15" t="s">
        <v>1138</v>
      </c>
      <c r="C1193" s="19" t="s">
        <v>12</v>
      </c>
      <c r="D1193" s="21" t="s">
        <v>976</v>
      </c>
      <c r="E1193" s="19" t="s">
        <v>372</v>
      </c>
      <c r="F1193" s="19" t="s">
        <v>1096</v>
      </c>
      <c r="G1193" s="19" t="s">
        <v>1066</v>
      </c>
      <c r="H1193" s="19" t="s">
        <v>1083</v>
      </c>
      <c r="I1193" s="19"/>
      <c r="J1193" s="19" t="s">
        <v>18</v>
      </c>
      <c r="K1193" s="19" t="s">
        <v>18</v>
      </c>
      <c r="L1193" s="19" t="s">
        <v>19</v>
      </c>
      <c r="M1193" s="19" t="s">
        <v>18</v>
      </c>
      <c r="N1193" s="19" t="s">
        <v>18</v>
      </c>
      <c r="O1193" s="19"/>
      <c r="P1193" s="19">
        <v>101.979167</v>
      </c>
      <c r="Q1193" s="19">
        <v>6.0236109999999998</v>
      </c>
      <c r="R1193" s="19"/>
      <c r="S1193" s="19" t="s">
        <v>41</v>
      </c>
    </row>
    <row r="1194" spans="1:19" hidden="1" x14ac:dyDescent="0.25">
      <c r="A1194" s="28">
        <v>6020012</v>
      </c>
      <c r="B1194" s="15" t="s">
        <v>1139</v>
      </c>
      <c r="C1194" s="19" t="s">
        <v>12</v>
      </c>
      <c r="D1194" s="21" t="s">
        <v>976</v>
      </c>
      <c r="E1194" s="19" t="s">
        <v>1127</v>
      </c>
      <c r="F1194" s="19" t="s">
        <v>1140</v>
      </c>
      <c r="G1194" s="19" t="s">
        <v>1066</v>
      </c>
      <c r="H1194" s="19" t="s">
        <v>1083</v>
      </c>
      <c r="I1194" s="19" t="s">
        <v>1141</v>
      </c>
      <c r="J1194" s="19" t="s">
        <v>19</v>
      </c>
      <c r="K1194" s="19" t="s">
        <v>19</v>
      </c>
      <c r="L1194" s="19" t="s">
        <v>18</v>
      </c>
      <c r="M1194" s="19" t="s">
        <v>19</v>
      </c>
      <c r="N1194" s="19" t="s">
        <v>19</v>
      </c>
      <c r="O1194" s="19"/>
      <c r="P1194" s="19">
        <v>102.022222</v>
      </c>
      <c r="Q1194" s="19">
        <v>6.0291670000000002</v>
      </c>
      <c r="R1194" s="19"/>
      <c r="S1194" s="19" t="s">
        <v>41</v>
      </c>
    </row>
    <row r="1195" spans="1:19" hidden="1" x14ac:dyDescent="0.25">
      <c r="A1195" s="28">
        <v>6021001</v>
      </c>
      <c r="B1195" s="15" t="s">
        <v>1142</v>
      </c>
      <c r="C1195" s="19" t="s">
        <v>12</v>
      </c>
      <c r="D1195" s="21" t="s">
        <v>976</v>
      </c>
      <c r="E1195" s="19" t="s">
        <v>1127</v>
      </c>
      <c r="F1195" s="19"/>
      <c r="G1195" s="19"/>
      <c r="H1195" s="19" t="s">
        <v>1143</v>
      </c>
      <c r="I1195" s="19" t="s">
        <v>1144</v>
      </c>
      <c r="J1195" s="19" t="s">
        <v>19</v>
      </c>
      <c r="K1195" s="19" t="s">
        <v>19</v>
      </c>
      <c r="L1195" s="19" t="s">
        <v>18</v>
      </c>
      <c r="M1195" s="19" t="s">
        <v>19</v>
      </c>
      <c r="N1195" s="19" t="s">
        <v>19</v>
      </c>
      <c r="O1195" s="19"/>
      <c r="P1195" s="19">
        <v>102.14664399999999</v>
      </c>
      <c r="Q1195" s="19">
        <v>6.0251359999999998</v>
      </c>
      <c r="R1195" s="19"/>
      <c r="S1195" s="19"/>
    </row>
    <row r="1196" spans="1:19" hidden="1" x14ac:dyDescent="0.25">
      <c r="A1196" s="28">
        <v>6021010</v>
      </c>
      <c r="B1196" s="15" t="s">
        <v>1145</v>
      </c>
      <c r="C1196" s="19" t="s">
        <v>12</v>
      </c>
      <c r="D1196" s="21" t="s">
        <v>976</v>
      </c>
      <c r="E1196" s="19" t="s">
        <v>1127</v>
      </c>
      <c r="F1196" s="19" t="s">
        <v>1140</v>
      </c>
      <c r="G1196" s="19" t="s">
        <v>1066</v>
      </c>
      <c r="H1196" s="19" t="s">
        <v>1146</v>
      </c>
      <c r="I1196" s="19"/>
      <c r="J1196" s="19" t="s">
        <v>18</v>
      </c>
      <c r="K1196" s="19" t="s">
        <v>18</v>
      </c>
      <c r="L1196" s="19" t="s">
        <v>19</v>
      </c>
      <c r="M1196" s="19" t="s">
        <v>19</v>
      </c>
      <c r="N1196" s="19" t="s">
        <v>18</v>
      </c>
      <c r="O1196" s="19"/>
      <c r="P1196" s="19">
        <v>102.102778</v>
      </c>
      <c r="Q1196" s="19">
        <v>6.0125000000000002</v>
      </c>
      <c r="R1196" s="19"/>
      <c r="S1196" s="19" t="s">
        <v>41</v>
      </c>
    </row>
    <row r="1197" spans="1:19" hidden="1" x14ac:dyDescent="0.25">
      <c r="A1197" s="28">
        <v>6021013</v>
      </c>
      <c r="B1197" s="15" t="s">
        <v>1147</v>
      </c>
      <c r="C1197" s="19" t="s">
        <v>12</v>
      </c>
      <c r="D1197" s="21" t="s">
        <v>976</v>
      </c>
      <c r="E1197" s="19" t="s">
        <v>1127</v>
      </c>
      <c r="F1197" s="19" t="s">
        <v>1012</v>
      </c>
      <c r="G1197" s="19" t="s">
        <v>976</v>
      </c>
      <c r="H1197" s="19" t="s">
        <v>1002</v>
      </c>
      <c r="I1197" s="19"/>
      <c r="J1197" s="19" t="s">
        <v>18</v>
      </c>
      <c r="K1197" s="19" t="s">
        <v>18</v>
      </c>
      <c r="L1197" s="19" t="s">
        <v>19</v>
      </c>
      <c r="M1197" s="19" t="s">
        <v>19</v>
      </c>
      <c r="N1197" s="19" t="s">
        <v>18</v>
      </c>
      <c r="O1197" s="19"/>
      <c r="P1197" s="19">
        <v>102.108333</v>
      </c>
      <c r="Q1197" s="19">
        <v>6.1</v>
      </c>
      <c r="R1197" s="19"/>
      <c r="S1197" s="19" t="s">
        <v>1106</v>
      </c>
    </row>
    <row r="1198" spans="1:19" hidden="1" x14ac:dyDescent="0.25">
      <c r="A1198" s="28">
        <v>6021060</v>
      </c>
      <c r="B1198" s="15" t="s">
        <v>1148</v>
      </c>
      <c r="C1198" s="19" t="s">
        <v>12</v>
      </c>
      <c r="D1198" s="21" t="s">
        <v>976</v>
      </c>
      <c r="E1198" s="19" t="s">
        <v>1129</v>
      </c>
      <c r="F1198" s="19" t="s">
        <v>1012</v>
      </c>
      <c r="G1198" s="19" t="s">
        <v>976</v>
      </c>
      <c r="H1198" s="19" t="s">
        <v>1149</v>
      </c>
      <c r="I1198" s="19"/>
      <c r="J1198" s="19" t="s">
        <v>18</v>
      </c>
      <c r="K1198" s="19" t="s">
        <v>18</v>
      </c>
      <c r="L1198" s="19" t="s">
        <v>19</v>
      </c>
      <c r="M1198" s="19" t="s">
        <v>19</v>
      </c>
      <c r="N1198" s="19" t="s">
        <v>18</v>
      </c>
      <c r="O1198" s="19"/>
      <c r="P1198" s="19">
        <v>102.177778</v>
      </c>
      <c r="Q1198" s="19">
        <v>6.0180559999999996</v>
      </c>
      <c r="R1198" s="19"/>
      <c r="S1198" s="19" t="s">
        <v>1106</v>
      </c>
    </row>
    <row r="1199" spans="1:19" hidden="1" x14ac:dyDescent="0.25">
      <c r="A1199" s="28">
        <v>6022001</v>
      </c>
      <c r="B1199" s="15" t="s">
        <v>1150</v>
      </c>
      <c r="C1199" s="19" t="s">
        <v>12</v>
      </c>
      <c r="D1199" s="21" t="s">
        <v>976</v>
      </c>
      <c r="E1199" s="19" t="s">
        <v>1129</v>
      </c>
      <c r="F1199" s="19" t="s">
        <v>1151</v>
      </c>
      <c r="G1199" s="19" t="s">
        <v>992</v>
      </c>
      <c r="H1199" s="19" t="s">
        <v>1152</v>
      </c>
      <c r="I1199" s="19"/>
      <c r="J1199" s="19" t="s">
        <v>19</v>
      </c>
      <c r="K1199" s="19" t="s">
        <v>18</v>
      </c>
      <c r="L1199" s="19" t="s">
        <v>19</v>
      </c>
      <c r="M1199" s="19" t="s">
        <v>19</v>
      </c>
      <c r="N1199" s="19" t="s">
        <v>18</v>
      </c>
      <c r="O1199" s="19"/>
      <c r="P1199" s="19">
        <v>102.28749999999999</v>
      </c>
      <c r="Q1199" s="19">
        <v>6.0208329999999997</v>
      </c>
      <c r="R1199" s="19"/>
      <c r="S1199" s="19" t="s">
        <v>1106</v>
      </c>
    </row>
    <row r="1200" spans="1:19" hidden="1" x14ac:dyDescent="0.25">
      <c r="A1200" s="28">
        <v>6022062</v>
      </c>
      <c r="B1200" s="15" t="s">
        <v>1153</v>
      </c>
      <c r="C1200" s="19" t="s">
        <v>12</v>
      </c>
      <c r="D1200" s="21" t="s">
        <v>976</v>
      </c>
      <c r="E1200" s="19" t="s">
        <v>1129</v>
      </c>
      <c r="F1200" s="19" t="s">
        <v>1012</v>
      </c>
      <c r="G1200" s="19" t="s">
        <v>976</v>
      </c>
      <c r="H1200" s="19" t="s">
        <v>1154</v>
      </c>
      <c r="I1200" s="19"/>
      <c r="J1200" s="19" t="s">
        <v>18</v>
      </c>
      <c r="K1200" s="19" t="s">
        <v>18</v>
      </c>
      <c r="L1200" s="19" t="s">
        <v>19</v>
      </c>
      <c r="M1200" s="19" t="s">
        <v>19</v>
      </c>
      <c r="N1200" s="19" t="s">
        <v>18</v>
      </c>
      <c r="O1200" s="19"/>
      <c r="P1200" s="19">
        <v>102.219444</v>
      </c>
      <c r="Q1200" s="19">
        <v>6.0402779999999998</v>
      </c>
      <c r="R1200" s="19"/>
      <c r="S1200" s="19" t="s">
        <v>1106</v>
      </c>
    </row>
    <row r="1201" spans="1:19" hidden="1" x14ac:dyDescent="0.25">
      <c r="A1201" s="28">
        <v>6023001</v>
      </c>
      <c r="B1201" s="15" t="s">
        <v>1155</v>
      </c>
      <c r="C1201" s="19" t="s">
        <v>12</v>
      </c>
      <c r="D1201" s="21" t="s">
        <v>976</v>
      </c>
      <c r="E1201" s="19" t="s">
        <v>1129</v>
      </c>
      <c r="F1201" s="19" t="s">
        <v>1156</v>
      </c>
      <c r="G1201" s="19" t="s">
        <v>1157</v>
      </c>
      <c r="H1201" s="19" t="s">
        <v>1152</v>
      </c>
      <c r="I1201" s="19"/>
      <c r="J1201" s="19" t="s">
        <v>18</v>
      </c>
      <c r="K1201" s="19" t="s">
        <v>18</v>
      </c>
      <c r="L1201" s="19" t="s">
        <v>19</v>
      </c>
      <c r="M1201" s="19" t="s">
        <v>19</v>
      </c>
      <c r="N1201" s="19" t="s">
        <v>18</v>
      </c>
      <c r="O1201" s="19"/>
      <c r="P1201" s="19">
        <v>102.301389</v>
      </c>
      <c r="Q1201" s="19">
        <v>6.0750000000000002</v>
      </c>
      <c r="R1201" s="19"/>
      <c r="S1201" s="19" t="s">
        <v>1106</v>
      </c>
    </row>
    <row r="1202" spans="1:19" hidden="1" x14ac:dyDescent="0.25">
      <c r="A1202" s="28">
        <v>6023071</v>
      </c>
      <c r="B1202" s="15" t="s">
        <v>1158</v>
      </c>
      <c r="C1202" s="19" t="s">
        <v>12</v>
      </c>
      <c r="D1202" s="21" t="s">
        <v>976</v>
      </c>
      <c r="E1202" s="19" t="s">
        <v>1129</v>
      </c>
      <c r="F1202" s="19" t="s">
        <v>1156</v>
      </c>
      <c r="G1202" s="19" t="s">
        <v>1157</v>
      </c>
      <c r="H1202" s="19" t="s">
        <v>1159</v>
      </c>
      <c r="I1202" s="19" t="s">
        <v>686</v>
      </c>
      <c r="J1202" s="19" t="s">
        <v>19</v>
      </c>
      <c r="K1202" s="19" t="s">
        <v>19</v>
      </c>
      <c r="L1202" s="19" t="s">
        <v>18</v>
      </c>
      <c r="M1202" s="19" t="s">
        <v>19</v>
      </c>
      <c r="N1202" s="19" t="s">
        <v>19</v>
      </c>
      <c r="O1202" s="19"/>
      <c r="P1202" s="19">
        <v>102.301389</v>
      </c>
      <c r="Q1202" s="19">
        <v>6.0763889999999998</v>
      </c>
      <c r="R1202" s="19"/>
      <c r="S1202" s="19" t="s">
        <v>897</v>
      </c>
    </row>
    <row r="1203" spans="1:19" hidden="1" x14ac:dyDescent="0.25">
      <c r="A1203" s="28">
        <v>6023072</v>
      </c>
      <c r="B1203" s="15" t="s">
        <v>1160</v>
      </c>
      <c r="C1203" s="19" t="s">
        <v>12</v>
      </c>
      <c r="D1203" s="21" t="s">
        <v>976</v>
      </c>
      <c r="E1203" s="19" t="s">
        <v>1135</v>
      </c>
      <c r="F1203" s="19" t="s">
        <v>1151</v>
      </c>
      <c r="G1203" s="19" t="s">
        <v>976</v>
      </c>
      <c r="H1203" s="19" t="s">
        <v>1161</v>
      </c>
      <c r="I1203" s="19"/>
      <c r="J1203" s="19" t="s">
        <v>18</v>
      </c>
      <c r="K1203" s="19" t="s">
        <v>18</v>
      </c>
      <c r="L1203" s="19" t="s">
        <v>19</v>
      </c>
      <c r="M1203" s="19" t="s">
        <v>19</v>
      </c>
      <c r="N1203" s="19" t="s">
        <v>18</v>
      </c>
      <c r="O1203" s="19"/>
      <c r="P1203" s="19">
        <v>102.358333</v>
      </c>
      <c r="Q1203" s="19">
        <v>6.0055560000000003</v>
      </c>
      <c r="R1203" s="19"/>
      <c r="S1203" s="19" t="s">
        <v>41</v>
      </c>
    </row>
    <row r="1204" spans="1:19" hidden="1" x14ac:dyDescent="0.25">
      <c r="A1204" s="28">
        <v>6023073</v>
      </c>
      <c r="B1204" s="15" t="s">
        <v>1162</v>
      </c>
      <c r="C1204" s="19" t="s">
        <v>12</v>
      </c>
      <c r="D1204" s="21" t="s">
        <v>976</v>
      </c>
      <c r="E1204" s="19" t="s">
        <v>1135</v>
      </c>
      <c r="F1204" s="19" t="s">
        <v>1151</v>
      </c>
      <c r="G1204" s="19" t="s">
        <v>976</v>
      </c>
      <c r="H1204" s="19" t="s">
        <v>1159</v>
      </c>
      <c r="I1204" s="19" t="s">
        <v>1163</v>
      </c>
      <c r="J1204" s="19" t="s">
        <v>19</v>
      </c>
      <c r="K1204" s="19" t="s">
        <v>19</v>
      </c>
      <c r="L1204" s="19" t="s">
        <v>18</v>
      </c>
      <c r="M1204" s="19" t="s">
        <v>19</v>
      </c>
      <c r="N1204" s="19" t="s">
        <v>19</v>
      </c>
      <c r="O1204" s="19"/>
      <c r="P1204" s="19">
        <v>102.391667</v>
      </c>
      <c r="Q1204" s="19">
        <v>6.0138889999999998</v>
      </c>
      <c r="R1204" s="19"/>
      <c r="S1204" s="19" t="s">
        <v>41</v>
      </c>
    </row>
    <row r="1205" spans="1:19" hidden="1" x14ac:dyDescent="0.25">
      <c r="A1205" s="28">
        <v>6024074</v>
      </c>
      <c r="B1205" s="15" t="s">
        <v>1164</v>
      </c>
      <c r="C1205" s="19" t="s">
        <v>12</v>
      </c>
      <c r="D1205" s="21" t="s">
        <v>976</v>
      </c>
      <c r="E1205" s="19" t="s">
        <v>1135</v>
      </c>
      <c r="F1205" s="19" t="s">
        <v>1151</v>
      </c>
      <c r="G1205" s="19" t="s">
        <v>976</v>
      </c>
      <c r="H1205" s="19" t="s">
        <v>1132</v>
      </c>
      <c r="I1205" s="19"/>
      <c r="J1205" s="19" t="s">
        <v>18</v>
      </c>
      <c r="K1205" s="19" t="s">
        <v>18</v>
      </c>
      <c r="L1205" s="19" t="s">
        <v>19</v>
      </c>
      <c r="M1205" s="19" t="s">
        <v>19</v>
      </c>
      <c r="N1205" s="19" t="s">
        <v>18</v>
      </c>
      <c r="O1205" s="19"/>
      <c r="P1205" s="19">
        <v>102.40138899999999</v>
      </c>
      <c r="Q1205" s="19">
        <v>6.0555560000000002</v>
      </c>
      <c r="R1205" s="19"/>
      <c r="S1205" s="19" t="s">
        <v>544</v>
      </c>
    </row>
    <row r="1206" spans="1:19" hidden="1" x14ac:dyDescent="0.25">
      <c r="A1206" s="29">
        <v>6103047</v>
      </c>
      <c r="B1206" s="25" t="s">
        <v>553</v>
      </c>
      <c r="C1206" s="26" t="s">
        <v>12</v>
      </c>
      <c r="D1206" s="24" t="s">
        <v>451</v>
      </c>
      <c r="E1206" s="26" t="s">
        <v>452</v>
      </c>
      <c r="F1206" s="26"/>
      <c r="G1206" s="26" t="s">
        <v>525</v>
      </c>
      <c r="H1206" s="26" t="s">
        <v>552</v>
      </c>
      <c r="I1206" s="26"/>
      <c r="J1206" s="26" t="s">
        <v>18</v>
      </c>
      <c r="K1206" s="26" t="s">
        <v>18</v>
      </c>
      <c r="L1206" s="26" t="s">
        <v>18</v>
      </c>
      <c r="M1206" s="26" t="s">
        <v>19</v>
      </c>
      <c r="N1206" s="26" t="s">
        <v>18</v>
      </c>
      <c r="O1206" s="26" t="s">
        <v>19</v>
      </c>
      <c r="P1206" s="26">
        <v>100.391667</v>
      </c>
      <c r="Q1206" s="26">
        <v>6.105556</v>
      </c>
      <c r="R1206" s="26"/>
      <c r="S1206" s="26" t="s">
        <v>41</v>
      </c>
    </row>
    <row r="1207" spans="1:19" hidden="1" x14ac:dyDescent="0.25">
      <c r="A1207" s="29">
        <v>6103048</v>
      </c>
      <c r="B1207" s="25" t="s">
        <v>554</v>
      </c>
      <c r="C1207" s="26" t="s">
        <v>12</v>
      </c>
      <c r="D1207" s="24" t="s">
        <v>451</v>
      </c>
      <c r="E1207" s="26" t="s">
        <v>452</v>
      </c>
      <c r="F1207" s="26"/>
      <c r="G1207" s="26" t="s">
        <v>525</v>
      </c>
      <c r="H1207" s="26" t="s">
        <v>555</v>
      </c>
      <c r="I1207" s="26"/>
      <c r="J1207" s="26" t="s">
        <v>19</v>
      </c>
      <c r="K1207" s="26" t="s">
        <v>19</v>
      </c>
      <c r="L1207" s="26" t="s">
        <v>18</v>
      </c>
      <c r="M1207" s="26" t="s">
        <v>19</v>
      </c>
      <c r="N1207" s="26" t="s">
        <v>19</v>
      </c>
      <c r="O1207" s="26" t="s">
        <v>19</v>
      </c>
      <c r="P1207" s="26">
        <v>100.322222</v>
      </c>
      <c r="Q1207" s="26">
        <v>6.15</v>
      </c>
      <c r="R1207" s="26"/>
      <c r="S1207" s="26" t="s">
        <v>41</v>
      </c>
    </row>
    <row r="1208" spans="1:19" hidden="1" x14ac:dyDescent="0.25">
      <c r="A1208" s="29">
        <v>6105037</v>
      </c>
      <c r="B1208" s="25" t="s">
        <v>556</v>
      </c>
      <c r="C1208" s="26" t="s">
        <v>12</v>
      </c>
      <c r="D1208" s="24" t="s">
        <v>451</v>
      </c>
      <c r="E1208" s="26" t="s">
        <v>452</v>
      </c>
      <c r="F1208" s="26"/>
      <c r="G1208" s="26" t="s">
        <v>525</v>
      </c>
      <c r="H1208" s="26" t="s">
        <v>301</v>
      </c>
      <c r="I1208" s="26"/>
      <c r="J1208" s="26" t="s">
        <v>18</v>
      </c>
      <c r="K1208" s="26" t="s">
        <v>18</v>
      </c>
      <c r="L1208" s="26" t="s">
        <v>18</v>
      </c>
      <c r="M1208" s="26" t="s">
        <v>19</v>
      </c>
      <c r="N1208" s="26" t="s">
        <v>18</v>
      </c>
      <c r="O1208" s="26" t="s">
        <v>19</v>
      </c>
      <c r="P1208" s="26">
        <v>100.53749999999999</v>
      </c>
      <c r="Q1208" s="26">
        <v>6.168056</v>
      </c>
      <c r="R1208" s="26"/>
      <c r="S1208" s="26" t="s">
        <v>41</v>
      </c>
    </row>
    <row r="1209" spans="1:19" hidden="1" x14ac:dyDescent="0.25">
      <c r="A1209" s="29">
        <v>6105038</v>
      </c>
      <c r="B1209" s="25" t="s">
        <v>557</v>
      </c>
      <c r="C1209" s="26" t="s">
        <v>12</v>
      </c>
      <c r="D1209" s="24" t="s">
        <v>451</v>
      </c>
      <c r="E1209" s="26" t="s">
        <v>456</v>
      </c>
      <c r="F1209" s="26"/>
      <c r="G1209" s="26" t="s">
        <v>525</v>
      </c>
      <c r="H1209" s="26" t="s">
        <v>558</v>
      </c>
      <c r="I1209" s="26" t="s">
        <v>559</v>
      </c>
      <c r="J1209" s="26" t="s">
        <v>19</v>
      </c>
      <c r="K1209" s="26" t="s">
        <v>19</v>
      </c>
      <c r="L1209" s="26" t="s">
        <v>18</v>
      </c>
      <c r="M1209" s="26" t="s">
        <v>19</v>
      </c>
      <c r="N1209" s="26" t="s">
        <v>19</v>
      </c>
      <c r="O1209" s="26" t="s">
        <v>19</v>
      </c>
      <c r="P1209" s="26">
        <v>100.518056</v>
      </c>
      <c r="Q1209" s="26">
        <v>6.168056</v>
      </c>
      <c r="R1209" s="26"/>
      <c r="S1209" s="26" t="s">
        <v>41</v>
      </c>
    </row>
    <row r="1210" spans="1:19" hidden="1" x14ac:dyDescent="0.25">
      <c r="A1210" s="29">
        <v>6106034</v>
      </c>
      <c r="B1210" s="25" t="s">
        <v>560</v>
      </c>
      <c r="C1210" s="26" t="s">
        <v>12</v>
      </c>
      <c r="D1210" s="24" t="s">
        <v>451</v>
      </c>
      <c r="E1210" s="26" t="s">
        <v>456</v>
      </c>
      <c r="F1210" s="26"/>
      <c r="G1210" s="26" t="s">
        <v>525</v>
      </c>
      <c r="H1210" s="26" t="s">
        <v>536</v>
      </c>
      <c r="I1210" s="26"/>
      <c r="J1210" s="26" t="s">
        <v>18</v>
      </c>
      <c r="K1210" s="26" t="s">
        <v>18</v>
      </c>
      <c r="L1210" s="26" t="s">
        <v>18</v>
      </c>
      <c r="M1210" s="26" t="s">
        <v>19</v>
      </c>
      <c r="N1210" s="26" t="s">
        <v>19</v>
      </c>
      <c r="O1210" s="26" t="s">
        <v>19</v>
      </c>
      <c r="P1210" s="26">
        <v>100.670833</v>
      </c>
      <c r="Q1210" s="26">
        <v>6.141667</v>
      </c>
      <c r="R1210" s="26"/>
      <c r="S1210" s="26" t="s">
        <v>41</v>
      </c>
    </row>
    <row r="1211" spans="1:19" hidden="1" x14ac:dyDescent="0.25">
      <c r="A1211" s="29">
        <v>6108001</v>
      </c>
      <c r="B1211" s="25" t="s">
        <v>561</v>
      </c>
      <c r="C1211" s="26" t="s">
        <v>12</v>
      </c>
      <c r="D1211" s="24" t="s">
        <v>451</v>
      </c>
      <c r="E1211" s="26" t="s">
        <v>482</v>
      </c>
      <c r="F1211" s="26"/>
      <c r="G1211" s="26" t="s">
        <v>481</v>
      </c>
      <c r="H1211" s="26" t="s">
        <v>533</v>
      </c>
      <c r="I1211" s="26"/>
      <c r="J1211" s="26" t="s">
        <v>18</v>
      </c>
      <c r="K1211" s="26" t="s">
        <v>18</v>
      </c>
      <c r="L1211" s="26" t="s">
        <v>18</v>
      </c>
      <c r="M1211" s="26" t="s">
        <v>19</v>
      </c>
      <c r="N1211" s="26" t="s">
        <v>18</v>
      </c>
      <c r="O1211" s="26" t="s">
        <v>19</v>
      </c>
      <c r="P1211" s="26">
        <v>100.847222</v>
      </c>
      <c r="Q1211" s="26">
        <v>6.105556</v>
      </c>
      <c r="R1211" s="26"/>
      <c r="S1211" s="26" t="s">
        <v>41</v>
      </c>
    </row>
    <row r="1212" spans="1:19" hidden="1" x14ac:dyDescent="0.25">
      <c r="A1212" s="29">
        <v>6108062</v>
      </c>
      <c r="B1212" s="25" t="s">
        <v>562</v>
      </c>
      <c r="C1212" s="26" t="s">
        <v>12</v>
      </c>
      <c r="D1212" s="24" t="s">
        <v>451</v>
      </c>
      <c r="E1212" s="26" t="s">
        <v>563</v>
      </c>
      <c r="F1212" s="26"/>
      <c r="G1212" s="26" t="s">
        <v>481</v>
      </c>
      <c r="H1212" s="26" t="s">
        <v>460</v>
      </c>
      <c r="I1212" s="26" t="s">
        <v>564</v>
      </c>
      <c r="J1212" s="26" t="s">
        <v>19</v>
      </c>
      <c r="K1212" s="26" t="s">
        <v>19</v>
      </c>
      <c r="L1212" s="26" t="s">
        <v>18</v>
      </c>
      <c r="M1212" s="26" t="s">
        <v>19</v>
      </c>
      <c r="N1212" s="26" t="s">
        <v>19</v>
      </c>
      <c r="O1212" s="26" t="s">
        <v>19</v>
      </c>
      <c r="P1212" s="26">
        <v>100.856944</v>
      </c>
      <c r="Q1212" s="26">
        <v>6.115278</v>
      </c>
      <c r="R1212" s="26"/>
      <c r="S1212" s="26" t="s">
        <v>565</v>
      </c>
    </row>
    <row r="1213" spans="1:19" hidden="1" x14ac:dyDescent="0.25">
      <c r="A1213" s="28">
        <v>6120014</v>
      </c>
      <c r="B1213" s="15" t="s">
        <v>1165</v>
      </c>
      <c r="C1213" s="19" t="s">
        <v>12</v>
      </c>
      <c r="D1213" s="21" t="s">
        <v>976</v>
      </c>
      <c r="E1213" s="19" t="s">
        <v>1166</v>
      </c>
      <c r="F1213" s="19" t="s">
        <v>1096</v>
      </c>
      <c r="G1213" s="19" t="s">
        <v>976</v>
      </c>
      <c r="H1213" s="19" t="s">
        <v>1167</v>
      </c>
      <c r="I1213" s="19"/>
      <c r="J1213" s="19" t="s">
        <v>18</v>
      </c>
      <c r="K1213" s="19" t="s">
        <v>18</v>
      </c>
      <c r="L1213" s="19" t="s">
        <v>19</v>
      </c>
      <c r="M1213" s="19" t="s">
        <v>19</v>
      </c>
      <c r="N1213" s="19" t="s">
        <v>18</v>
      </c>
      <c r="O1213" s="19"/>
      <c r="P1213" s="19">
        <v>102.095833</v>
      </c>
      <c r="Q1213" s="19">
        <v>6.15</v>
      </c>
      <c r="R1213" s="19"/>
      <c r="S1213" s="19" t="s">
        <v>1106</v>
      </c>
    </row>
    <row r="1214" spans="1:19" hidden="1" x14ac:dyDescent="0.25">
      <c r="A1214" s="28">
        <v>6121001</v>
      </c>
      <c r="B1214" s="15" t="s">
        <v>1168</v>
      </c>
      <c r="C1214" s="19" t="s">
        <v>12</v>
      </c>
      <c r="D1214" s="21" t="s">
        <v>976</v>
      </c>
      <c r="E1214" s="19" t="s">
        <v>1166</v>
      </c>
      <c r="F1214" s="19" t="s">
        <v>1012</v>
      </c>
      <c r="G1214" s="19" t="s">
        <v>976</v>
      </c>
      <c r="H1214" s="19" t="s">
        <v>510</v>
      </c>
      <c r="I1214" s="19"/>
      <c r="J1214" s="19" t="s">
        <v>18</v>
      </c>
      <c r="K1214" s="19" t="s">
        <v>18</v>
      </c>
      <c r="L1214" s="19" t="s">
        <v>19</v>
      </c>
      <c r="M1214" s="19" t="s">
        <v>19</v>
      </c>
      <c r="N1214" s="19" t="s">
        <v>18</v>
      </c>
      <c r="O1214" s="19"/>
      <c r="P1214" s="19">
        <v>102.205556</v>
      </c>
      <c r="Q1214" s="19">
        <v>6.15</v>
      </c>
      <c r="R1214" s="19"/>
      <c r="S1214" s="19" t="s">
        <v>41</v>
      </c>
    </row>
    <row r="1215" spans="1:19" hidden="1" x14ac:dyDescent="0.25">
      <c r="A1215" s="28">
        <v>6121015</v>
      </c>
      <c r="B1215" s="15" t="s">
        <v>1169</v>
      </c>
      <c r="C1215" s="19" t="s">
        <v>12</v>
      </c>
      <c r="D1215" s="21" t="s">
        <v>976</v>
      </c>
      <c r="E1215" s="19" t="s">
        <v>1166</v>
      </c>
      <c r="F1215" s="19" t="s">
        <v>1012</v>
      </c>
      <c r="G1215" s="19" t="s">
        <v>976</v>
      </c>
      <c r="H1215" s="19" t="s">
        <v>722</v>
      </c>
      <c r="I1215" s="19"/>
      <c r="J1215" s="19" t="s">
        <v>18</v>
      </c>
      <c r="K1215" s="19" t="s">
        <v>18</v>
      </c>
      <c r="L1215" s="19" t="s">
        <v>19</v>
      </c>
      <c r="M1215" s="19" t="s">
        <v>19</v>
      </c>
      <c r="N1215" s="19" t="s">
        <v>18</v>
      </c>
      <c r="O1215" s="19"/>
      <c r="P1215" s="19">
        <v>102.156944</v>
      </c>
      <c r="Q1215" s="19">
        <v>6.1555559999999998</v>
      </c>
      <c r="R1215" s="19"/>
      <c r="S1215" s="19" t="s">
        <v>1106</v>
      </c>
    </row>
    <row r="1216" spans="1:19" hidden="1" x14ac:dyDescent="0.25">
      <c r="A1216" s="28">
        <v>6121063</v>
      </c>
      <c r="B1216" s="15" t="s">
        <v>1170</v>
      </c>
      <c r="C1216" s="19" t="s">
        <v>12</v>
      </c>
      <c r="D1216" s="21" t="s">
        <v>976</v>
      </c>
      <c r="E1216" s="19" t="s">
        <v>1166</v>
      </c>
      <c r="F1216" s="19" t="s">
        <v>1012</v>
      </c>
      <c r="G1216" s="19" t="s">
        <v>976</v>
      </c>
      <c r="H1216" s="19" t="s">
        <v>1083</v>
      </c>
      <c r="I1216" s="19" t="s">
        <v>963</v>
      </c>
      <c r="J1216" s="19" t="s">
        <v>19</v>
      </c>
      <c r="K1216" s="19" t="s">
        <v>19</v>
      </c>
      <c r="L1216" s="19" t="s">
        <v>18</v>
      </c>
      <c r="M1216" s="19" t="s">
        <v>19</v>
      </c>
      <c r="N1216" s="19" t="s">
        <v>19</v>
      </c>
      <c r="O1216" s="19"/>
      <c r="P1216" s="19">
        <v>102.19583299999999</v>
      </c>
      <c r="Q1216" s="19">
        <v>6.1194439999999997</v>
      </c>
      <c r="R1216" s="19"/>
      <c r="S1216" s="19" t="s">
        <v>897</v>
      </c>
    </row>
    <row r="1217" spans="1:19" hidden="1" x14ac:dyDescent="0.25">
      <c r="A1217" s="28">
        <v>6121066</v>
      </c>
      <c r="B1217" s="15" t="s">
        <v>1171</v>
      </c>
      <c r="C1217" s="19" t="s">
        <v>12</v>
      </c>
      <c r="D1217" s="21" t="s">
        <v>976</v>
      </c>
      <c r="E1217" s="19" t="s">
        <v>1166</v>
      </c>
      <c r="F1217" s="19" t="s">
        <v>1012</v>
      </c>
      <c r="G1217" s="19" t="s">
        <v>976</v>
      </c>
      <c r="H1217" s="19" t="s">
        <v>1083</v>
      </c>
      <c r="I1217" s="19" t="s">
        <v>1172</v>
      </c>
      <c r="J1217" s="19" t="s">
        <v>19</v>
      </c>
      <c r="K1217" s="19" t="s">
        <v>19</v>
      </c>
      <c r="L1217" s="19" t="s">
        <v>18</v>
      </c>
      <c r="M1217" s="19" t="s">
        <v>19</v>
      </c>
      <c r="N1217" s="19" t="s">
        <v>19</v>
      </c>
      <c r="O1217" s="19"/>
      <c r="P1217" s="19">
        <v>102.198611</v>
      </c>
      <c r="Q1217" s="19">
        <v>6.168056</v>
      </c>
      <c r="R1217" s="19"/>
      <c r="S1217" s="19" t="s">
        <v>41</v>
      </c>
    </row>
    <row r="1218" spans="1:19" ht="30" hidden="1" x14ac:dyDescent="0.25">
      <c r="A1218" s="28">
        <v>6121067</v>
      </c>
      <c r="B1218" s="15" t="s">
        <v>1173</v>
      </c>
      <c r="C1218" s="19" t="s">
        <v>12</v>
      </c>
      <c r="D1218" s="21" t="s">
        <v>976</v>
      </c>
      <c r="E1218" s="19" t="s">
        <v>1166</v>
      </c>
      <c r="F1218" s="19" t="s">
        <v>1012</v>
      </c>
      <c r="G1218" s="19" t="s">
        <v>976</v>
      </c>
      <c r="H1218" s="19" t="s">
        <v>935</v>
      </c>
      <c r="I1218" s="19"/>
      <c r="J1218" s="19" t="s">
        <v>18</v>
      </c>
      <c r="K1218" s="19" t="s">
        <v>18</v>
      </c>
      <c r="L1218" s="19" t="s">
        <v>19</v>
      </c>
      <c r="M1218" s="19" t="s">
        <v>19</v>
      </c>
      <c r="N1218" s="19" t="s">
        <v>18</v>
      </c>
      <c r="O1218" s="19"/>
      <c r="P1218" s="19">
        <v>102.169444</v>
      </c>
      <c r="Q1218" s="19">
        <v>6.1986109999999996</v>
      </c>
      <c r="R1218" s="19"/>
      <c r="S1218" s="19" t="s">
        <v>41</v>
      </c>
    </row>
    <row r="1219" spans="1:19" hidden="1" x14ac:dyDescent="0.25">
      <c r="A1219" s="28">
        <v>6122001</v>
      </c>
      <c r="B1219" s="15" t="s">
        <v>1174</v>
      </c>
      <c r="C1219" s="19" t="s">
        <v>12</v>
      </c>
      <c r="D1219" s="21" t="s">
        <v>976</v>
      </c>
      <c r="E1219" s="19" t="s">
        <v>1129</v>
      </c>
      <c r="F1219" s="19" t="s">
        <v>1012</v>
      </c>
      <c r="G1219" s="19" t="s">
        <v>1012</v>
      </c>
      <c r="H1219" s="19"/>
      <c r="I1219" s="19"/>
      <c r="J1219" s="19" t="s">
        <v>19</v>
      </c>
      <c r="K1219" s="19" t="s">
        <v>18</v>
      </c>
      <c r="L1219" s="19" t="s">
        <v>19</v>
      </c>
      <c r="M1219" s="19" t="s">
        <v>18</v>
      </c>
      <c r="N1219" s="19" t="s">
        <v>19</v>
      </c>
      <c r="O1219" s="19"/>
      <c r="P1219" s="19">
        <v>102.233333</v>
      </c>
      <c r="Q1219" s="19">
        <v>6.1333330000000004</v>
      </c>
      <c r="R1219" s="19"/>
      <c r="S1219" s="19"/>
    </row>
    <row r="1220" spans="1:19" hidden="1" x14ac:dyDescent="0.25">
      <c r="A1220" s="28">
        <v>6122064</v>
      </c>
      <c r="B1220" s="15" t="s">
        <v>1175</v>
      </c>
      <c r="C1220" s="19" t="s">
        <v>12</v>
      </c>
      <c r="D1220" s="21" t="s">
        <v>976</v>
      </c>
      <c r="E1220" s="19" t="s">
        <v>1129</v>
      </c>
      <c r="F1220" s="19" t="s">
        <v>1012</v>
      </c>
      <c r="G1220" s="19" t="s">
        <v>976</v>
      </c>
      <c r="H1220" s="19" t="s">
        <v>301</v>
      </c>
      <c r="I1220" s="19"/>
      <c r="J1220" s="19" t="s">
        <v>18</v>
      </c>
      <c r="K1220" s="19" t="s">
        <v>18</v>
      </c>
      <c r="L1220" s="19" t="s">
        <v>19</v>
      </c>
      <c r="M1220" s="19" t="s">
        <v>19</v>
      </c>
      <c r="N1220" s="19" t="s">
        <v>18</v>
      </c>
      <c r="O1220" s="19"/>
      <c r="P1220" s="19">
        <v>102.256944</v>
      </c>
      <c r="Q1220" s="19">
        <v>6.108333</v>
      </c>
      <c r="R1220" s="19"/>
      <c r="S1220" s="19" t="s">
        <v>41</v>
      </c>
    </row>
    <row r="1221" spans="1:19" hidden="1" x14ac:dyDescent="0.25">
      <c r="A1221" s="28">
        <v>6122065</v>
      </c>
      <c r="B1221" s="15" t="s">
        <v>1176</v>
      </c>
      <c r="C1221" s="19" t="s">
        <v>12</v>
      </c>
      <c r="D1221" s="21" t="s">
        <v>976</v>
      </c>
      <c r="E1221" s="19" t="s">
        <v>1166</v>
      </c>
      <c r="F1221" s="19" t="s">
        <v>1012</v>
      </c>
      <c r="G1221" s="19" t="s">
        <v>976</v>
      </c>
      <c r="H1221" s="19" t="s">
        <v>1083</v>
      </c>
      <c r="I1221" s="19" t="s">
        <v>1177</v>
      </c>
      <c r="J1221" s="19" t="s">
        <v>19</v>
      </c>
      <c r="K1221" s="19" t="s">
        <v>19</v>
      </c>
      <c r="L1221" s="19" t="s">
        <v>18</v>
      </c>
      <c r="M1221" s="19" t="s">
        <v>19</v>
      </c>
      <c r="N1221" s="19" t="s">
        <v>19</v>
      </c>
      <c r="O1221" s="19"/>
      <c r="P1221" s="19">
        <v>102.227778</v>
      </c>
      <c r="Q1221" s="19">
        <v>6.1486109999999998</v>
      </c>
      <c r="R1221" s="19"/>
      <c r="S1221" s="19" t="s">
        <v>41</v>
      </c>
    </row>
    <row r="1222" spans="1:19" hidden="1" x14ac:dyDescent="0.25">
      <c r="A1222" s="28">
        <v>6122068</v>
      </c>
      <c r="B1222" s="15" t="s">
        <v>1178</v>
      </c>
      <c r="C1222" s="19" t="s">
        <v>12</v>
      </c>
      <c r="D1222" s="21" t="s">
        <v>976</v>
      </c>
      <c r="E1222" s="19" t="s">
        <v>1129</v>
      </c>
      <c r="F1222" s="19" t="s">
        <v>1179</v>
      </c>
      <c r="G1222" s="19" t="s">
        <v>976</v>
      </c>
      <c r="H1222" s="19" t="s">
        <v>1159</v>
      </c>
      <c r="I1222" s="19"/>
      <c r="J1222" s="19" t="s">
        <v>19</v>
      </c>
      <c r="K1222" s="19" t="s">
        <v>19</v>
      </c>
      <c r="L1222" s="19" t="s">
        <v>18</v>
      </c>
      <c r="M1222" s="19" t="s">
        <v>19</v>
      </c>
      <c r="N1222" s="19" t="s">
        <v>19</v>
      </c>
      <c r="O1222" s="19"/>
      <c r="P1222" s="19">
        <v>102.294444</v>
      </c>
      <c r="Q1222" s="19">
        <v>6.168056</v>
      </c>
      <c r="R1222" s="19"/>
      <c r="S1222" s="19" t="s">
        <v>221</v>
      </c>
    </row>
    <row r="1223" spans="1:19" hidden="1" x14ac:dyDescent="0.25">
      <c r="A1223" s="29">
        <v>6201001</v>
      </c>
      <c r="B1223" s="25" t="s">
        <v>1743</v>
      </c>
      <c r="C1223" s="26" t="s">
        <v>12</v>
      </c>
      <c r="D1223" s="24" t="s">
        <v>569</v>
      </c>
      <c r="E1223" s="26" t="s">
        <v>569</v>
      </c>
      <c r="F1223" s="26"/>
      <c r="G1223" s="26"/>
      <c r="H1223" s="26"/>
      <c r="I1223" s="26"/>
      <c r="J1223" s="26" t="s">
        <v>19</v>
      </c>
      <c r="K1223" s="26" t="s">
        <v>18</v>
      </c>
      <c r="L1223" s="26" t="s">
        <v>19</v>
      </c>
      <c r="M1223" s="26" t="s">
        <v>19</v>
      </c>
      <c r="N1223" s="26" t="s">
        <v>18</v>
      </c>
      <c r="O1223" s="26" t="s">
        <v>19</v>
      </c>
      <c r="P1223" s="26">
        <v>100.196028</v>
      </c>
      <c r="Q1223" s="26">
        <v>6.2587780000000004</v>
      </c>
      <c r="R1223" s="26"/>
      <c r="S1223" s="26"/>
    </row>
    <row r="1224" spans="1:19" hidden="1" x14ac:dyDescent="0.25">
      <c r="A1224" s="29">
        <v>6202001</v>
      </c>
      <c r="B1224" s="25" t="s">
        <v>2634</v>
      </c>
      <c r="C1224" s="26" t="s">
        <v>12</v>
      </c>
      <c r="D1224" s="24" t="s">
        <v>451</v>
      </c>
      <c r="E1224" s="26" t="s">
        <v>456</v>
      </c>
      <c r="F1224" s="26"/>
      <c r="G1224" s="26" t="s">
        <v>525</v>
      </c>
      <c r="H1224" s="26" t="s">
        <v>566</v>
      </c>
      <c r="I1224" s="26" t="s">
        <v>23</v>
      </c>
      <c r="J1224" s="26" t="s">
        <v>19</v>
      </c>
      <c r="K1224" s="26" t="s">
        <v>19</v>
      </c>
      <c r="L1224" s="26" t="s">
        <v>18</v>
      </c>
      <c r="M1224" s="26" t="s">
        <v>19</v>
      </c>
      <c r="N1224" s="26" t="s">
        <v>19</v>
      </c>
      <c r="O1224" s="26" t="s">
        <v>19</v>
      </c>
      <c r="P1224" s="26">
        <v>100.204167</v>
      </c>
      <c r="Q1224" s="26">
        <v>6.2611109999999996</v>
      </c>
      <c r="R1224" s="26"/>
      <c r="S1224" s="26" t="s">
        <v>41</v>
      </c>
    </row>
    <row r="1225" spans="1:19" hidden="1" x14ac:dyDescent="0.25">
      <c r="A1225" s="29">
        <v>6202011</v>
      </c>
      <c r="B1225" s="25" t="s">
        <v>567</v>
      </c>
      <c r="C1225" s="26" t="s">
        <v>12</v>
      </c>
      <c r="D1225" s="24" t="s">
        <v>451</v>
      </c>
      <c r="E1225" s="26" t="s">
        <v>456</v>
      </c>
      <c r="F1225" s="26"/>
      <c r="G1225" s="26" t="s">
        <v>525</v>
      </c>
      <c r="H1225" s="26" t="s">
        <v>526</v>
      </c>
      <c r="I1225" s="26" t="s">
        <v>254</v>
      </c>
      <c r="J1225" s="26" t="s">
        <v>19</v>
      </c>
      <c r="K1225" s="26" t="s">
        <v>19</v>
      </c>
      <c r="L1225" s="26" t="s">
        <v>18</v>
      </c>
      <c r="M1225" s="26" t="s">
        <v>19</v>
      </c>
      <c r="N1225" s="26" t="s">
        <v>19</v>
      </c>
      <c r="O1225" s="26" t="s">
        <v>19</v>
      </c>
      <c r="P1225" s="26">
        <v>100.218056</v>
      </c>
      <c r="Q1225" s="26">
        <v>6.2819440000000002</v>
      </c>
      <c r="R1225" s="26"/>
      <c r="S1225" s="26" t="s">
        <v>41</v>
      </c>
    </row>
    <row r="1226" spans="1:19" hidden="1" x14ac:dyDescent="0.25">
      <c r="A1226" s="29">
        <v>6203022</v>
      </c>
      <c r="B1226" s="25" t="s">
        <v>568</v>
      </c>
      <c r="C1226" s="26" t="s">
        <v>12</v>
      </c>
      <c r="D1226" s="24" t="s">
        <v>451</v>
      </c>
      <c r="E1226" s="26" t="s">
        <v>528</v>
      </c>
      <c r="F1226" s="26"/>
      <c r="G1226" s="26" t="s">
        <v>569</v>
      </c>
      <c r="H1226" s="26" t="s">
        <v>570</v>
      </c>
      <c r="I1226" s="26"/>
      <c r="J1226" s="26" t="s">
        <v>19</v>
      </c>
      <c r="K1226" s="26" t="s">
        <v>18</v>
      </c>
      <c r="L1226" s="26" t="s">
        <v>18</v>
      </c>
      <c r="M1226" s="26" t="s">
        <v>19</v>
      </c>
      <c r="N1226" s="26" t="s">
        <v>18</v>
      </c>
      <c r="O1226" s="26" t="s">
        <v>19</v>
      </c>
      <c r="P1226" s="26">
        <v>100.35</v>
      </c>
      <c r="Q1226" s="26">
        <v>6.2708329999999997</v>
      </c>
      <c r="R1226" s="26"/>
      <c r="S1226" s="26" t="s">
        <v>41</v>
      </c>
    </row>
    <row r="1227" spans="1:19" hidden="1" x14ac:dyDescent="0.25">
      <c r="A1227" s="29">
        <v>6204004</v>
      </c>
      <c r="B1227" s="25" t="s">
        <v>571</v>
      </c>
      <c r="C1227" s="26" t="s">
        <v>12</v>
      </c>
      <c r="D1227" s="24" t="s">
        <v>451</v>
      </c>
      <c r="E1227" s="26" t="s">
        <v>528</v>
      </c>
      <c r="F1227" s="26" t="s">
        <v>572</v>
      </c>
      <c r="G1227" s="26" t="s">
        <v>573</v>
      </c>
      <c r="H1227" s="26"/>
      <c r="I1227" s="26"/>
      <c r="J1227" s="26" t="s">
        <v>19</v>
      </c>
      <c r="K1227" s="26" t="s">
        <v>18</v>
      </c>
      <c r="L1227" s="26" t="s">
        <v>19</v>
      </c>
      <c r="M1227" s="26" t="s">
        <v>18</v>
      </c>
      <c r="N1227" s="26" t="s">
        <v>19</v>
      </c>
      <c r="O1227" s="26" t="s">
        <v>19</v>
      </c>
      <c r="P1227" s="26">
        <v>100.4135</v>
      </c>
      <c r="Q1227" s="26">
        <v>6.2031669999999997</v>
      </c>
      <c r="R1227" s="26"/>
      <c r="S1227" s="26"/>
    </row>
    <row r="1228" spans="1:19" hidden="1" x14ac:dyDescent="0.25">
      <c r="A1228" s="29">
        <v>6204023</v>
      </c>
      <c r="B1228" s="25" t="s">
        <v>574</v>
      </c>
      <c r="C1228" s="26" t="s">
        <v>12</v>
      </c>
      <c r="D1228" s="24" t="s">
        <v>451</v>
      </c>
      <c r="E1228" s="26" t="s">
        <v>528</v>
      </c>
      <c r="F1228" s="26"/>
      <c r="G1228" s="26" t="s">
        <v>525</v>
      </c>
      <c r="H1228" s="26" t="s">
        <v>575</v>
      </c>
      <c r="I1228" s="26"/>
      <c r="J1228" s="26" t="s">
        <v>19</v>
      </c>
      <c r="K1228" s="26" t="s">
        <v>18</v>
      </c>
      <c r="L1228" s="26" t="s">
        <v>18</v>
      </c>
      <c r="M1228" s="26" t="s">
        <v>19</v>
      </c>
      <c r="N1228" s="26" t="s">
        <v>19</v>
      </c>
      <c r="O1228" s="26" t="s">
        <v>19</v>
      </c>
      <c r="P1228" s="26">
        <v>100.41249999999999</v>
      </c>
      <c r="Q1228" s="26">
        <v>6.2625000000000002</v>
      </c>
      <c r="R1228" s="26"/>
      <c r="S1228" s="26" t="s">
        <v>544</v>
      </c>
    </row>
    <row r="1229" spans="1:19" hidden="1" x14ac:dyDescent="0.25">
      <c r="A1229" s="29">
        <v>6204028</v>
      </c>
      <c r="B1229" s="25" t="s">
        <v>576</v>
      </c>
      <c r="C1229" s="26" t="s">
        <v>12</v>
      </c>
      <c r="D1229" s="24" t="s">
        <v>451</v>
      </c>
      <c r="E1229" s="26" t="s">
        <v>528</v>
      </c>
      <c r="F1229" s="26"/>
      <c r="G1229" s="26" t="s">
        <v>577</v>
      </c>
      <c r="H1229" s="26" t="s">
        <v>578</v>
      </c>
      <c r="I1229" s="26"/>
      <c r="J1229" s="26" t="s">
        <v>19</v>
      </c>
      <c r="K1229" s="26" t="s">
        <v>18</v>
      </c>
      <c r="L1229" s="26" t="s">
        <v>18</v>
      </c>
      <c r="M1229" s="26" t="s">
        <v>19</v>
      </c>
      <c r="N1229" s="26" t="s">
        <v>19</v>
      </c>
      <c r="O1229" s="26" t="s">
        <v>19</v>
      </c>
      <c r="P1229" s="26">
        <v>100.433333</v>
      </c>
      <c r="Q1229" s="26">
        <v>6.2430560000000002</v>
      </c>
      <c r="R1229" s="26"/>
      <c r="S1229" s="26" t="s">
        <v>20</v>
      </c>
    </row>
    <row r="1230" spans="1:19" hidden="1" x14ac:dyDescent="0.25">
      <c r="A1230" s="29">
        <v>6204039</v>
      </c>
      <c r="B1230" s="25" t="s">
        <v>579</v>
      </c>
      <c r="C1230" s="26" t="s">
        <v>12</v>
      </c>
      <c r="D1230" s="24" t="s">
        <v>451</v>
      </c>
      <c r="E1230" s="26" t="s">
        <v>528</v>
      </c>
      <c r="F1230" s="26"/>
      <c r="G1230" s="26" t="s">
        <v>525</v>
      </c>
      <c r="H1230" s="26" t="s">
        <v>580</v>
      </c>
      <c r="I1230" s="26"/>
      <c r="J1230" s="26" t="s">
        <v>19</v>
      </c>
      <c r="K1230" s="26" t="s">
        <v>19</v>
      </c>
      <c r="L1230" s="26" t="s">
        <v>18</v>
      </c>
      <c r="M1230" s="26" t="s">
        <v>19</v>
      </c>
      <c r="N1230" s="26" t="s">
        <v>19</v>
      </c>
      <c r="O1230" s="26" t="s">
        <v>19</v>
      </c>
      <c r="P1230" s="26">
        <v>100.41249999999999</v>
      </c>
      <c r="Q1230" s="26">
        <v>6.2013889999999998</v>
      </c>
      <c r="R1230" s="26"/>
      <c r="S1230" s="26" t="s">
        <v>221</v>
      </c>
    </row>
    <row r="1231" spans="1:19" hidden="1" x14ac:dyDescent="0.25">
      <c r="A1231" s="29">
        <v>6205036</v>
      </c>
      <c r="B1231" s="25" t="s">
        <v>581</v>
      </c>
      <c r="C1231" s="26" t="s">
        <v>12</v>
      </c>
      <c r="D1231" s="24" t="s">
        <v>451</v>
      </c>
      <c r="E1231" s="26" t="s">
        <v>563</v>
      </c>
      <c r="F1231" s="26" t="s">
        <v>582</v>
      </c>
      <c r="G1231" s="26" t="s">
        <v>525</v>
      </c>
      <c r="H1231" s="26" t="s">
        <v>522</v>
      </c>
      <c r="I1231" s="26"/>
      <c r="J1231" s="26" t="s">
        <v>18</v>
      </c>
      <c r="K1231" s="26" t="s">
        <v>18</v>
      </c>
      <c r="L1231" s="26" t="s">
        <v>18</v>
      </c>
      <c r="M1231" s="26" t="s">
        <v>19</v>
      </c>
      <c r="N1231" s="26" t="s">
        <v>18</v>
      </c>
      <c r="O1231" s="26" t="s">
        <v>19</v>
      </c>
      <c r="P1231" s="26">
        <v>100.530556</v>
      </c>
      <c r="Q1231" s="26">
        <v>6.2569439999999998</v>
      </c>
      <c r="R1231" s="26"/>
      <c r="S1231" s="26" t="s">
        <v>41</v>
      </c>
    </row>
    <row r="1232" spans="1:19" hidden="1" x14ac:dyDescent="0.25">
      <c r="A1232" s="29">
        <v>6206035</v>
      </c>
      <c r="B1232" s="25" t="s">
        <v>583</v>
      </c>
      <c r="C1232" s="26" t="s">
        <v>12</v>
      </c>
      <c r="D1232" s="24" t="s">
        <v>451</v>
      </c>
      <c r="E1232" s="26" t="s">
        <v>563</v>
      </c>
      <c r="F1232" s="26" t="s">
        <v>582</v>
      </c>
      <c r="G1232" s="26" t="s">
        <v>525</v>
      </c>
      <c r="H1232" s="26" t="s">
        <v>584</v>
      </c>
      <c r="I1232" s="26"/>
      <c r="J1232" s="26" t="s">
        <v>18</v>
      </c>
      <c r="K1232" s="26" t="s">
        <v>18</v>
      </c>
      <c r="L1232" s="26" t="s">
        <v>18</v>
      </c>
      <c r="M1232" s="26" t="s">
        <v>19</v>
      </c>
      <c r="N1232" s="26" t="s">
        <v>18</v>
      </c>
      <c r="O1232" s="26" t="s">
        <v>19</v>
      </c>
      <c r="P1232" s="26">
        <v>100.6125</v>
      </c>
      <c r="Q1232" s="26">
        <v>6.2541669999999998</v>
      </c>
      <c r="R1232" s="26"/>
      <c r="S1232" s="26" t="s">
        <v>41</v>
      </c>
    </row>
    <row r="1233" spans="1:19" hidden="1" x14ac:dyDescent="0.25">
      <c r="A1233" s="29">
        <v>6207032</v>
      </c>
      <c r="B1233" s="25" t="s">
        <v>585</v>
      </c>
      <c r="C1233" s="26" t="s">
        <v>12</v>
      </c>
      <c r="D1233" s="24" t="s">
        <v>451</v>
      </c>
      <c r="E1233" s="26" t="s">
        <v>563</v>
      </c>
      <c r="F1233" s="26"/>
      <c r="G1233" s="26" t="s">
        <v>525</v>
      </c>
      <c r="H1233" s="26" t="s">
        <v>460</v>
      </c>
      <c r="I1233" s="26"/>
      <c r="J1233" s="26" t="s">
        <v>18</v>
      </c>
      <c r="K1233" s="26" t="s">
        <v>18</v>
      </c>
      <c r="L1233" s="26" t="s">
        <v>18</v>
      </c>
      <c r="M1233" s="26" t="s">
        <v>19</v>
      </c>
      <c r="N1233" s="26" t="s">
        <v>18</v>
      </c>
      <c r="O1233" s="26" t="s">
        <v>19</v>
      </c>
      <c r="P1233" s="26">
        <v>100.772222</v>
      </c>
      <c r="Q1233" s="26">
        <v>6.240278</v>
      </c>
      <c r="R1233" s="26"/>
      <c r="S1233" s="26" t="s">
        <v>41</v>
      </c>
    </row>
    <row r="1234" spans="1:19" hidden="1" x14ac:dyDescent="0.25">
      <c r="A1234" s="29">
        <v>6207033</v>
      </c>
      <c r="B1234" s="25" t="s">
        <v>586</v>
      </c>
      <c r="C1234" s="26" t="s">
        <v>12</v>
      </c>
      <c r="D1234" s="24" t="s">
        <v>451</v>
      </c>
      <c r="E1234" s="26" t="s">
        <v>563</v>
      </c>
      <c r="F1234" s="26"/>
      <c r="G1234" s="26" t="s">
        <v>525</v>
      </c>
      <c r="H1234" s="26" t="s">
        <v>494</v>
      </c>
      <c r="I1234" s="26"/>
      <c r="J1234" s="26" t="s">
        <v>18</v>
      </c>
      <c r="K1234" s="26" t="s">
        <v>18</v>
      </c>
      <c r="L1234" s="26" t="s">
        <v>18</v>
      </c>
      <c r="M1234" s="26" t="s">
        <v>19</v>
      </c>
      <c r="N1234" s="26" t="s">
        <v>18</v>
      </c>
      <c r="O1234" s="26" t="s">
        <v>19</v>
      </c>
      <c r="P1234" s="26">
        <v>100.71250000000001</v>
      </c>
      <c r="Q1234" s="26">
        <v>6.2277779999999998</v>
      </c>
      <c r="R1234" s="26"/>
      <c r="S1234" s="26" t="s">
        <v>41</v>
      </c>
    </row>
    <row r="1235" spans="1:19" hidden="1" x14ac:dyDescent="0.25">
      <c r="A1235" s="29">
        <v>6297101</v>
      </c>
      <c r="B1235" s="25" t="s">
        <v>587</v>
      </c>
      <c r="C1235" s="26" t="s">
        <v>12</v>
      </c>
      <c r="D1235" s="24" t="s">
        <v>451</v>
      </c>
      <c r="E1235" s="26" t="s">
        <v>588</v>
      </c>
      <c r="F1235" s="26" t="s">
        <v>589</v>
      </c>
      <c r="G1235" s="26" t="s">
        <v>590</v>
      </c>
      <c r="H1235" s="26" t="s">
        <v>371</v>
      </c>
      <c r="I1235" s="26"/>
      <c r="J1235" s="26" t="s">
        <v>19</v>
      </c>
      <c r="K1235" s="26" t="s">
        <v>19</v>
      </c>
      <c r="L1235" s="26" t="s">
        <v>19</v>
      </c>
      <c r="M1235" s="26" t="s">
        <v>19</v>
      </c>
      <c r="N1235" s="26" t="s">
        <v>18</v>
      </c>
      <c r="O1235" s="26" t="s">
        <v>19</v>
      </c>
      <c r="P1235" s="26">
        <v>99.733056000000005</v>
      </c>
      <c r="Q1235" s="26">
        <v>6.2769440000000003</v>
      </c>
      <c r="R1235" s="26"/>
      <c r="S1235" s="26" t="s">
        <v>41</v>
      </c>
    </row>
    <row r="1236" spans="1:19" hidden="1" x14ac:dyDescent="0.25">
      <c r="A1236" s="29">
        <v>6301001</v>
      </c>
      <c r="B1236" s="25" t="s">
        <v>1744</v>
      </c>
      <c r="C1236" s="26" t="s">
        <v>12</v>
      </c>
      <c r="D1236" s="24" t="s">
        <v>569</v>
      </c>
      <c r="E1236" s="26" t="s">
        <v>1745</v>
      </c>
      <c r="F1236" s="26"/>
      <c r="G1236" s="26" t="s">
        <v>1746</v>
      </c>
      <c r="H1236" s="26" t="s">
        <v>1268</v>
      </c>
      <c r="I1236" s="26"/>
      <c r="J1236" s="26" t="s">
        <v>18</v>
      </c>
      <c r="K1236" s="26" t="s">
        <v>18</v>
      </c>
      <c r="L1236" s="26" t="s">
        <v>18</v>
      </c>
      <c r="M1236" s="26" t="s">
        <v>19</v>
      </c>
      <c r="N1236" s="26" t="s">
        <v>18</v>
      </c>
      <c r="O1236" s="26" t="s">
        <v>19</v>
      </c>
      <c r="P1236" s="26">
        <v>100.183611</v>
      </c>
      <c r="Q1236" s="26">
        <v>6.394444</v>
      </c>
      <c r="R1236" s="26" t="s">
        <v>41</v>
      </c>
      <c r="S1236" s="26"/>
    </row>
    <row r="1237" spans="1:19" hidden="1" x14ac:dyDescent="0.25">
      <c r="A1237" s="29">
        <v>6301009</v>
      </c>
      <c r="B1237" s="25" t="s">
        <v>1747</v>
      </c>
      <c r="C1237" s="26" t="s">
        <v>12</v>
      </c>
      <c r="D1237" s="24" t="s">
        <v>569</v>
      </c>
      <c r="E1237" s="26" t="s">
        <v>1745</v>
      </c>
      <c r="F1237" s="26"/>
      <c r="G1237" s="26" t="s">
        <v>1746</v>
      </c>
      <c r="H1237" s="26" t="s">
        <v>1427</v>
      </c>
      <c r="I1237" s="26" t="s">
        <v>1748</v>
      </c>
      <c r="J1237" s="26" t="s">
        <v>19</v>
      </c>
      <c r="K1237" s="26" t="s">
        <v>19</v>
      </c>
      <c r="L1237" s="26" t="s">
        <v>18</v>
      </c>
      <c r="M1237" s="26" t="s">
        <v>19</v>
      </c>
      <c r="N1237" s="26" t="s">
        <v>19</v>
      </c>
      <c r="O1237" s="26" t="s">
        <v>19</v>
      </c>
      <c r="P1237" s="26">
        <v>100.1875</v>
      </c>
      <c r="Q1237" s="26">
        <v>6.3986109999999998</v>
      </c>
      <c r="R1237" s="26" t="s">
        <v>41</v>
      </c>
      <c r="S1237" s="26"/>
    </row>
    <row r="1238" spans="1:19" hidden="1" x14ac:dyDescent="0.25">
      <c r="A1238" s="29">
        <v>6301010</v>
      </c>
      <c r="B1238" s="25" t="s">
        <v>1749</v>
      </c>
      <c r="C1238" s="26" t="s">
        <v>12</v>
      </c>
      <c r="D1238" s="24" t="s">
        <v>569</v>
      </c>
      <c r="E1238" s="26" t="s">
        <v>569</v>
      </c>
      <c r="F1238" s="26"/>
      <c r="G1238" s="26"/>
      <c r="H1238" s="26"/>
      <c r="I1238" s="26"/>
      <c r="J1238" s="26" t="s">
        <v>19</v>
      </c>
      <c r="K1238" s="26" t="s">
        <v>18</v>
      </c>
      <c r="L1238" s="26" t="s">
        <v>19</v>
      </c>
      <c r="M1238" s="26" t="s">
        <v>19</v>
      </c>
      <c r="N1238" s="26" t="s">
        <v>18</v>
      </c>
      <c r="O1238" s="26" t="s">
        <v>19</v>
      </c>
      <c r="P1238" s="26">
        <v>100.183333</v>
      </c>
      <c r="Q1238" s="26">
        <v>6.3333329999999997</v>
      </c>
      <c r="R1238" s="26"/>
      <c r="S1238" s="26"/>
    </row>
    <row r="1239" spans="1:19" hidden="1" x14ac:dyDescent="0.25">
      <c r="A1239" s="29">
        <v>6302021</v>
      </c>
      <c r="B1239" s="25" t="s">
        <v>591</v>
      </c>
      <c r="C1239" s="26" t="s">
        <v>12</v>
      </c>
      <c r="D1239" s="24" t="s">
        <v>451</v>
      </c>
      <c r="E1239" s="26" t="s">
        <v>528</v>
      </c>
      <c r="F1239" s="26"/>
      <c r="G1239" s="26" t="s">
        <v>525</v>
      </c>
      <c r="H1239" s="26" t="s">
        <v>526</v>
      </c>
      <c r="I1239" s="26"/>
      <c r="J1239" s="26" t="s">
        <v>19</v>
      </c>
      <c r="K1239" s="26" t="s">
        <v>18</v>
      </c>
      <c r="L1239" s="26" t="s">
        <v>18</v>
      </c>
      <c r="M1239" s="26" t="s">
        <v>19</v>
      </c>
      <c r="N1239" s="26" t="s">
        <v>19</v>
      </c>
      <c r="O1239" s="26" t="s">
        <v>19</v>
      </c>
      <c r="P1239" s="26">
        <v>100.3</v>
      </c>
      <c r="Q1239" s="26">
        <v>6.3708330000000002</v>
      </c>
      <c r="R1239" s="26"/>
      <c r="S1239" s="26" t="s">
        <v>41</v>
      </c>
    </row>
    <row r="1240" spans="1:19" hidden="1" x14ac:dyDescent="0.25">
      <c r="A1240" s="29">
        <v>6302022</v>
      </c>
      <c r="B1240" s="25" t="s">
        <v>1750</v>
      </c>
      <c r="C1240" s="26" t="s">
        <v>12</v>
      </c>
      <c r="D1240" s="24" t="s">
        <v>569</v>
      </c>
      <c r="E1240" s="26" t="s">
        <v>569</v>
      </c>
      <c r="F1240" s="26"/>
      <c r="G1240" s="26"/>
      <c r="H1240" s="26"/>
      <c r="I1240" s="26"/>
      <c r="J1240" s="26" t="s">
        <v>19</v>
      </c>
      <c r="K1240" s="26" t="s">
        <v>18</v>
      </c>
      <c r="L1240" s="26" t="s">
        <v>19</v>
      </c>
      <c r="M1240" s="26" t="s">
        <v>19</v>
      </c>
      <c r="N1240" s="26" t="s">
        <v>18</v>
      </c>
      <c r="O1240" s="26" t="s">
        <v>19</v>
      </c>
      <c r="P1240" s="26">
        <v>100.266667</v>
      </c>
      <c r="Q1240" s="26">
        <v>6.3666669999999996</v>
      </c>
      <c r="R1240" s="26"/>
      <c r="S1240" s="26"/>
    </row>
    <row r="1241" spans="1:19" hidden="1" x14ac:dyDescent="0.25">
      <c r="A1241" s="29">
        <v>6304026</v>
      </c>
      <c r="B1241" s="25" t="s">
        <v>592</v>
      </c>
      <c r="C1241" s="26" t="s">
        <v>12</v>
      </c>
      <c r="D1241" s="24" t="s">
        <v>451</v>
      </c>
      <c r="E1241" s="26" t="s">
        <v>563</v>
      </c>
      <c r="F1241" s="26"/>
      <c r="G1241" s="26" t="s">
        <v>577</v>
      </c>
      <c r="H1241" s="26" t="s">
        <v>76</v>
      </c>
      <c r="I1241" s="26" t="s">
        <v>593</v>
      </c>
      <c r="J1241" s="26" t="s">
        <v>19</v>
      </c>
      <c r="K1241" s="26" t="s">
        <v>19</v>
      </c>
      <c r="L1241" s="26" t="s">
        <v>18</v>
      </c>
      <c r="M1241" s="26" t="s">
        <v>19</v>
      </c>
      <c r="N1241" s="26" t="s">
        <v>19</v>
      </c>
      <c r="O1241" s="26" t="s">
        <v>19</v>
      </c>
      <c r="P1241" s="26">
        <v>100.481944</v>
      </c>
      <c r="Q1241" s="26">
        <v>6.3347220000000002</v>
      </c>
      <c r="R1241" s="26"/>
      <c r="S1241" s="26" t="s">
        <v>164</v>
      </c>
    </row>
    <row r="1242" spans="1:19" hidden="1" x14ac:dyDescent="0.25">
      <c r="A1242" s="29">
        <v>6304027</v>
      </c>
      <c r="B1242" s="25" t="s">
        <v>594</v>
      </c>
      <c r="C1242" s="26" t="s">
        <v>12</v>
      </c>
      <c r="D1242" s="24" t="s">
        <v>451</v>
      </c>
      <c r="E1242" s="26" t="s">
        <v>528</v>
      </c>
      <c r="F1242" s="26"/>
      <c r="G1242" s="26" t="s">
        <v>577</v>
      </c>
      <c r="H1242" s="26" t="s">
        <v>595</v>
      </c>
      <c r="I1242" s="26"/>
      <c r="J1242" s="26" t="s">
        <v>18</v>
      </c>
      <c r="K1242" s="26" t="s">
        <v>18</v>
      </c>
      <c r="L1242" s="26" t="s">
        <v>18</v>
      </c>
      <c r="M1242" s="26" t="s">
        <v>19</v>
      </c>
      <c r="N1242" s="26" t="s">
        <v>18</v>
      </c>
      <c r="O1242" s="26" t="s">
        <v>19</v>
      </c>
      <c r="P1242" s="26">
        <v>100.420833</v>
      </c>
      <c r="Q1242" s="26">
        <v>6.3041669999999996</v>
      </c>
      <c r="R1242" s="26"/>
      <c r="S1242" s="26" t="s">
        <v>20</v>
      </c>
    </row>
    <row r="1243" spans="1:19" hidden="1" x14ac:dyDescent="0.25">
      <c r="A1243" s="29">
        <v>6304050</v>
      </c>
      <c r="B1243" s="25" t="s">
        <v>596</v>
      </c>
      <c r="C1243" s="26" t="s">
        <v>12</v>
      </c>
      <c r="D1243" s="24" t="s">
        <v>451</v>
      </c>
      <c r="E1243" s="26" t="s">
        <v>528</v>
      </c>
      <c r="F1243" s="26" t="s">
        <v>597</v>
      </c>
      <c r="G1243" s="26" t="s">
        <v>597</v>
      </c>
      <c r="H1243" s="26"/>
      <c r="I1243" s="26"/>
      <c r="J1243" s="26" t="s">
        <v>19</v>
      </c>
      <c r="K1243" s="26" t="s">
        <v>18</v>
      </c>
      <c r="L1243" s="26" t="s">
        <v>19</v>
      </c>
      <c r="M1243" s="26" t="s">
        <v>18</v>
      </c>
      <c r="N1243" s="26" t="s">
        <v>19</v>
      </c>
      <c r="O1243" s="26" t="s">
        <v>19</v>
      </c>
      <c r="P1243" s="26">
        <v>100.44373299999999</v>
      </c>
      <c r="Q1243" s="26">
        <v>6.3949999999999996</v>
      </c>
      <c r="R1243" s="26"/>
      <c r="S1243" s="26"/>
    </row>
    <row r="1244" spans="1:19" hidden="1" x14ac:dyDescent="0.25">
      <c r="A1244" s="29">
        <v>6305029</v>
      </c>
      <c r="B1244" s="25" t="s">
        <v>598</v>
      </c>
      <c r="C1244" s="26" t="s">
        <v>12</v>
      </c>
      <c r="D1244" s="24" t="s">
        <v>451</v>
      </c>
      <c r="E1244" s="26" t="s">
        <v>563</v>
      </c>
      <c r="F1244" s="26"/>
      <c r="G1244" s="26" t="s">
        <v>577</v>
      </c>
      <c r="H1244" s="26" t="s">
        <v>536</v>
      </c>
      <c r="I1244" s="26"/>
      <c r="J1244" s="26" t="s">
        <v>18</v>
      </c>
      <c r="K1244" s="26" t="s">
        <v>18</v>
      </c>
      <c r="L1244" s="26" t="s">
        <v>18</v>
      </c>
      <c r="M1244" s="26" t="s">
        <v>19</v>
      </c>
      <c r="N1244" s="26" t="s">
        <v>19</v>
      </c>
      <c r="O1244" s="26" t="s">
        <v>19</v>
      </c>
      <c r="P1244" s="26">
        <v>100.569444</v>
      </c>
      <c r="Q1244" s="26">
        <v>6.338889</v>
      </c>
      <c r="R1244" s="26"/>
      <c r="S1244" s="26" t="s">
        <v>41</v>
      </c>
    </row>
    <row r="1245" spans="1:19" hidden="1" x14ac:dyDescent="0.25">
      <c r="A1245" s="29">
        <v>6306031</v>
      </c>
      <c r="B1245" s="25" t="s">
        <v>599</v>
      </c>
      <c r="C1245" s="26" t="s">
        <v>12</v>
      </c>
      <c r="D1245" s="24" t="s">
        <v>451</v>
      </c>
      <c r="E1245" s="26" t="s">
        <v>563</v>
      </c>
      <c r="F1245" s="26"/>
      <c r="G1245" s="26" t="s">
        <v>525</v>
      </c>
      <c r="H1245" s="26" t="s">
        <v>584</v>
      </c>
      <c r="I1245" s="26"/>
      <c r="J1245" s="26" t="s">
        <v>18</v>
      </c>
      <c r="K1245" s="26" t="s">
        <v>18</v>
      </c>
      <c r="L1245" s="26" t="s">
        <v>18</v>
      </c>
      <c r="M1245" s="26" t="s">
        <v>19</v>
      </c>
      <c r="N1245" s="26" t="s">
        <v>18</v>
      </c>
      <c r="O1245" s="26" t="s">
        <v>19</v>
      </c>
      <c r="P1245" s="26">
        <v>100.69027800000001</v>
      </c>
      <c r="Q1245" s="26">
        <v>6.3430559999999998</v>
      </c>
      <c r="R1245" s="26"/>
      <c r="S1245" s="26" t="s">
        <v>41</v>
      </c>
    </row>
    <row r="1246" spans="1:19" hidden="1" x14ac:dyDescent="0.25">
      <c r="A1246" s="29">
        <v>6306035</v>
      </c>
      <c r="B1246" s="25" t="s">
        <v>600</v>
      </c>
      <c r="C1246" s="26" t="s">
        <v>12</v>
      </c>
      <c r="D1246" s="24" t="s">
        <v>451</v>
      </c>
      <c r="E1246" s="26" t="s">
        <v>563</v>
      </c>
      <c r="F1246" s="26" t="s">
        <v>601</v>
      </c>
      <c r="G1246" s="26" t="s">
        <v>573</v>
      </c>
      <c r="H1246" s="26"/>
      <c r="I1246" s="26"/>
      <c r="J1246" s="26" t="s">
        <v>19</v>
      </c>
      <c r="K1246" s="26" t="s">
        <v>18</v>
      </c>
      <c r="L1246" s="26" t="s">
        <v>19</v>
      </c>
      <c r="M1246" s="26" t="s">
        <v>18</v>
      </c>
      <c r="N1246" s="26" t="s">
        <v>19</v>
      </c>
      <c r="O1246" s="26" t="s">
        <v>19</v>
      </c>
      <c r="P1246" s="26">
        <v>100.697778</v>
      </c>
      <c r="Q1246" s="26">
        <v>6.3765559999999999</v>
      </c>
      <c r="R1246" s="26"/>
      <c r="S1246" s="26"/>
    </row>
    <row r="1247" spans="1:19" hidden="1" x14ac:dyDescent="0.25">
      <c r="A1247" s="29">
        <v>6397101</v>
      </c>
      <c r="B1247" s="25" t="s">
        <v>602</v>
      </c>
      <c r="C1247" s="26" t="s">
        <v>12</v>
      </c>
      <c r="D1247" s="24" t="s">
        <v>451</v>
      </c>
      <c r="E1247" s="26" t="s">
        <v>563</v>
      </c>
      <c r="F1247" s="26"/>
      <c r="G1247" s="26" t="s">
        <v>590</v>
      </c>
      <c r="H1247" s="26" t="s">
        <v>371</v>
      </c>
      <c r="I1247" s="26" t="s">
        <v>974</v>
      </c>
      <c r="J1247" s="26" t="s">
        <v>19</v>
      </c>
      <c r="K1247" s="26" t="s">
        <v>19</v>
      </c>
      <c r="L1247" s="26" t="s">
        <v>19</v>
      </c>
      <c r="M1247" s="26" t="s">
        <v>19</v>
      </c>
      <c r="N1247" s="26" t="s">
        <v>18</v>
      </c>
      <c r="O1247" s="26" t="s">
        <v>19</v>
      </c>
      <c r="P1247" s="26">
        <v>99.672499999999999</v>
      </c>
      <c r="Q1247" s="26">
        <v>6.3697220000000003</v>
      </c>
      <c r="R1247" s="26"/>
      <c r="S1247" s="26" t="s">
        <v>41</v>
      </c>
    </row>
    <row r="1248" spans="1:19" hidden="1" x14ac:dyDescent="0.25">
      <c r="A1248" s="29">
        <v>6397111</v>
      </c>
      <c r="B1248" s="25" t="s">
        <v>603</v>
      </c>
      <c r="C1248" s="26" t="s">
        <v>12</v>
      </c>
      <c r="D1248" s="24" t="s">
        <v>451</v>
      </c>
      <c r="E1248" s="26" t="s">
        <v>588</v>
      </c>
      <c r="F1248" s="26"/>
      <c r="G1248" s="26" t="s">
        <v>590</v>
      </c>
      <c r="H1248" s="26" t="s">
        <v>604</v>
      </c>
      <c r="I1248" s="26"/>
      <c r="J1248" s="26" t="s">
        <v>18</v>
      </c>
      <c r="K1248" s="26" t="s">
        <v>18</v>
      </c>
      <c r="L1248" s="26" t="s">
        <v>18</v>
      </c>
      <c r="M1248" s="26" t="s">
        <v>19</v>
      </c>
      <c r="N1248" s="26" t="s">
        <v>18</v>
      </c>
      <c r="O1248" s="26" t="s">
        <v>19</v>
      </c>
      <c r="P1248" s="26">
        <v>99.732500000000002</v>
      </c>
      <c r="Q1248" s="26">
        <v>6.4463889999999999</v>
      </c>
      <c r="R1248" s="26"/>
      <c r="S1248" s="26" t="s">
        <v>41</v>
      </c>
    </row>
    <row r="1249" spans="1:19" hidden="1" x14ac:dyDescent="0.25">
      <c r="A1249" s="29">
        <v>6397112</v>
      </c>
      <c r="B1249" s="25" t="s">
        <v>605</v>
      </c>
      <c r="C1249" s="26" t="s">
        <v>12</v>
      </c>
      <c r="D1249" s="24" t="s">
        <v>451</v>
      </c>
      <c r="E1249" s="26" t="s">
        <v>588</v>
      </c>
      <c r="F1249" s="26"/>
      <c r="G1249" s="26" t="s">
        <v>590</v>
      </c>
      <c r="H1249" s="26" t="s">
        <v>606</v>
      </c>
      <c r="I1249" s="26"/>
      <c r="J1249" s="26" t="s">
        <v>18</v>
      </c>
      <c r="K1249" s="26" t="s">
        <v>18</v>
      </c>
      <c r="L1249" s="26" t="s">
        <v>18</v>
      </c>
      <c r="M1249" s="26" t="s">
        <v>18</v>
      </c>
      <c r="N1249" s="26" t="s">
        <v>18</v>
      </c>
      <c r="O1249" s="26" t="s">
        <v>19</v>
      </c>
      <c r="P1249" s="26">
        <v>99.772221999999999</v>
      </c>
      <c r="Q1249" s="26">
        <v>6.3722219999999998</v>
      </c>
      <c r="R1249" s="26"/>
      <c r="S1249" s="26" t="s">
        <v>41</v>
      </c>
    </row>
    <row r="1250" spans="1:19" hidden="1" x14ac:dyDescent="0.25">
      <c r="A1250" s="29">
        <v>6397113</v>
      </c>
      <c r="B1250" s="25" t="s">
        <v>607</v>
      </c>
      <c r="C1250" s="26" t="s">
        <v>12</v>
      </c>
      <c r="D1250" s="24" t="s">
        <v>451</v>
      </c>
      <c r="E1250" s="26" t="s">
        <v>588</v>
      </c>
      <c r="F1250" s="26"/>
      <c r="G1250" s="26"/>
      <c r="H1250" s="26"/>
      <c r="I1250" s="26"/>
      <c r="J1250" s="26" t="s">
        <v>19</v>
      </c>
      <c r="K1250" s="26" t="s">
        <v>18</v>
      </c>
      <c r="L1250" s="26" t="s">
        <v>19</v>
      </c>
      <c r="M1250" s="26" t="s">
        <v>18</v>
      </c>
      <c r="N1250" s="26" t="s">
        <v>19</v>
      </c>
      <c r="O1250" s="26" t="s">
        <v>19</v>
      </c>
      <c r="P1250" s="26">
        <v>99.754686000000007</v>
      </c>
      <c r="Q1250" s="26">
        <v>6.3542889999999996</v>
      </c>
      <c r="R1250" s="26"/>
      <c r="S1250" s="26"/>
    </row>
    <row r="1251" spans="1:19" hidden="1" x14ac:dyDescent="0.25">
      <c r="A1251" s="29">
        <v>6397114</v>
      </c>
      <c r="B1251" s="25" t="s">
        <v>608</v>
      </c>
      <c r="C1251" s="26" t="s">
        <v>12</v>
      </c>
      <c r="D1251" s="24" t="s">
        <v>451</v>
      </c>
      <c r="E1251" s="26" t="s">
        <v>588</v>
      </c>
      <c r="F1251" s="26"/>
      <c r="G1251" s="26"/>
      <c r="H1251" s="26"/>
      <c r="I1251" s="26"/>
      <c r="J1251" s="26" t="s">
        <v>19</v>
      </c>
      <c r="K1251" s="26" t="s">
        <v>18</v>
      </c>
      <c r="L1251" s="26" t="s">
        <v>19</v>
      </c>
      <c r="M1251" s="26" t="s">
        <v>18</v>
      </c>
      <c r="N1251" s="26" t="s">
        <v>19</v>
      </c>
      <c r="O1251" s="26" t="s">
        <v>19</v>
      </c>
      <c r="P1251" s="26">
        <v>99.722138999999999</v>
      </c>
      <c r="Q1251" s="26">
        <v>6.3519940000000004</v>
      </c>
      <c r="R1251" s="26"/>
      <c r="S1251" s="26"/>
    </row>
    <row r="1252" spans="1:19" hidden="1" x14ac:dyDescent="0.25">
      <c r="A1252" s="29">
        <v>6397115</v>
      </c>
      <c r="B1252" s="25" t="s">
        <v>609</v>
      </c>
      <c r="C1252" s="26" t="s">
        <v>12</v>
      </c>
      <c r="D1252" s="24" t="s">
        <v>451</v>
      </c>
      <c r="E1252" s="26" t="s">
        <v>588</v>
      </c>
      <c r="F1252" s="26"/>
      <c r="G1252" s="26"/>
      <c r="H1252" s="26"/>
      <c r="I1252" s="26"/>
      <c r="J1252" s="26" t="s">
        <v>19</v>
      </c>
      <c r="K1252" s="26" t="s">
        <v>18</v>
      </c>
      <c r="L1252" s="26" t="s">
        <v>19</v>
      </c>
      <c r="M1252" s="26" t="s">
        <v>18</v>
      </c>
      <c r="N1252" s="26" t="s">
        <v>19</v>
      </c>
      <c r="O1252" s="26" t="s">
        <v>19</v>
      </c>
      <c r="P1252" s="26">
        <v>99.786610999999994</v>
      </c>
      <c r="Q1252" s="26">
        <v>6.3390829999999996</v>
      </c>
      <c r="R1252" s="26"/>
      <c r="S1252" s="26"/>
    </row>
    <row r="1253" spans="1:19" hidden="1" x14ac:dyDescent="0.25">
      <c r="A1253" s="29">
        <v>6397116</v>
      </c>
      <c r="B1253" s="25" t="s">
        <v>610</v>
      </c>
      <c r="C1253" s="26" t="s">
        <v>12</v>
      </c>
      <c r="D1253" s="24" t="s">
        <v>451</v>
      </c>
      <c r="E1253" s="26" t="s">
        <v>588</v>
      </c>
      <c r="F1253" s="26"/>
      <c r="G1253" s="26"/>
      <c r="H1253" s="26"/>
      <c r="I1253" s="26"/>
      <c r="J1253" s="26" t="s">
        <v>19</v>
      </c>
      <c r="K1253" s="26" t="s">
        <v>18</v>
      </c>
      <c r="L1253" s="26" t="s">
        <v>19</v>
      </c>
      <c r="M1253" s="26" t="s">
        <v>18</v>
      </c>
      <c r="N1253" s="26" t="s">
        <v>19</v>
      </c>
      <c r="O1253" s="26" t="s">
        <v>19</v>
      </c>
      <c r="P1253" s="26">
        <v>99.791652999999997</v>
      </c>
      <c r="Q1253" s="26">
        <v>6.3931889999999996</v>
      </c>
      <c r="R1253" s="26"/>
      <c r="S1253" s="26"/>
    </row>
    <row r="1254" spans="1:19" hidden="1" x14ac:dyDescent="0.25">
      <c r="A1254" s="29">
        <v>6398121</v>
      </c>
      <c r="B1254" s="25" t="s">
        <v>611</v>
      </c>
      <c r="C1254" s="26" t="s">
        <v>12</v>
      </c>
      <c r="D1254" s="24" t="s">
        <v>451</v>
      </c>
      <c r="E1254" s="26" t="s">
        <v>563</v>
      </c>
      <c r="F1254" s="26" t="s">
        <v>612</v>
      </c>
      <c r="G1254" s="26" t="s">
        <v>590</v>
      </c>
      <c r="H1254" s="26" t="s">
        <v>613</v>
      </c>
      <c r="I1254" s="26" t="s">
        <v>974</v>
      </c>
      <c r="J1254" s="26" t="s">
        <v>19</v>
      </c>
      <c r="K1254" s="26" t="s">
        <v>19</v>
      </c>
      <c r="L1254" s="26" t="s">
        <v>19</v>
      </c>
      <c r="M1254" s="26" t="s">
        <v>19</v>
      </c>
      <c r="N1254" s="26" t="s">
        <v>18</v>
      </c>
      <c r="O1254" s="26" t="s">
        <v>19</v>
      </c>
      <c r="P1254" s="26">
        <v>99.821944000000002</v>
      </c>
      <c r="Q1254" s="26">
        <v>6.338889</v>
      </c>
      <c r="R1254" s="26"/>
      <c r="S1254" s="26" t="s">
        <v>41</v>
      </c>
    </row>
    <row r="1255" spans="1:19" hidden="1" x14ac:dyDescent="0.25">
      <c r="A1255" s="29">
        <v>6398131</v>
      </c>
      <c r="B1255" s="25" t="s">
        <v>614</v>
      </c>
      <c r="C1255" s="26" t="s">
        <v>12</v>
      </c>
      <c r="D1255" s="24" t="s">
        <v>451</v>
      </c>
      <c r="E1255" s="26" t="s">
        <v>588</v>
      </c>
      <c r="F1255" s="26"/>
      <c r="G1255" s="26" t="s">
        <v>615</v>
      </c>
      <c r="H1255" s="26" t="s">
        <v>616</v>
      </c>
      <c r="I1255" s="26"/>
      <c r="J1255" s="26" t="s">
        <v>18</v>
      </c>
      <c r="K1255" s="26" t="s">
        <v>18</v>
      </c>
      <c r="L1255" s="26" t="s">
        <v>18</v>
      </c>
      <c r="M1255" s="26" t="s">
        <v>19</v>
      </c>
      <c r="N1255" s="26" t="s">
        <v>18</v>
      </c>
      <c r="O1255" s="26" t="s">
        <v>19</v>
      </c>
      <c r="P1255" s="26">
        <v>99.864166999999995</v>
      </c>
      <c r="Q1255" s="26">
        <v>6.3677780000000004</v>
      </c>
      <c r="R1255" s="26"/>
      <c r="S1255" s="26" t="s">
        <v>20</v>
      </c>
    </row>
    <row r="1256" spans="1:19" hidden="1" x14ac:dyDescent="0.25">
      <c r="A1256" s="29">
        <v>6398141</v>
      </c>
      <c r="B1256" s="25" t="s">
        <v>617</v>
      </c>
      <c r="C1256" s="26" t="s">
        <v>12</v>
      </c>
      <c r="D1256" s="24" t="s">
        <v>451</v>
      </c>
      <c r="E1256" s="26" t="s">
        <v>563</v>
      </c>
      <c r="F1256" s="26" t="s">
        <v>590</v>
      </c>
      <c r="G1256" s="26" t="s">
        <v>615</v>
      </c>
      <c r="H1256" s="26" t="s">
        <v>371</v>
      </c>
      <c r="I1256" s="26" t="s">
        <v>974</v>
      </c>
      <c r="J1256" s="26" t="s">
        <v>19</v>
      </c>
      <c r="K1256" s="26" t="s">
        <v>19</v>
      </c>
      <c r="L1256" s="26" t="s">
        <v>19</v>
      </c>
      <c r="M1256" s="26" t="s">
        <v>19</v>
      </c>
      <c r="N1256" s="26" t="s">
        <v>18</v>
      </c>
      <c r="O1256" s="26" t="s">
        <v>19</v>
      </c>
      <c r="P1256" s="26">
        <v>99.820555999999996</v>
      </c>
      <c r="Q1256" s="26">
        <v>6.37</v>
      </c>
      <c r="R1256" s="26"/>
      <c r="S1256" s="26" t="s">
        <v>41</v>
      </c>
    </row>
    <row r="1257" spans="1:19" hidden="1" x14ac:dyDescent="0.25">
      <c r="A1257" s="29">
        <v>6398141</v>
      </c>
      <c r="B1257" s="25" t="s">
        <v>618</v>
      </c>
      <c r="C1257" s="26" t="s">
        <v>12</v>
      </c>
      <c r="D1257" s="24" t="s">
        <v>451</v>
      </c>
      <c r="E1257" s="26" t="s">
        <v>563</v>
      </c>
      <c r="F1257" s="26"/>
      <c r="G1257" s="26"/>
      <c r="H1257" s="26"/>
      <c r="I1257" s="26"/>
      <c r="J1257" s="26" t="s">
        <v>19</v>
      </c>
      <c r="K1257" s="26" t="s">
        <v>18</v>
      </c>
      <c r="L1257" s="26" t="s">
        <v>19</v>
      </c>
      <c r="M1257" s="26" t="s">
        <v>18</v>
      </c>
      <c r="N1257" s="26" t="s">
        <v>19</v>
      </c>
      <c r="O1257" s="26" t="s">
        <v>19</v>
      </c>
      <c r="P1257" s="26">
        <v>99.817300000000003</v>
      </c>
      <c r="Q1257" s="26">
        <v>6.3713280000000001</v>
      </c>
      <c r="R1257" s="26"/>
      <c r="S1257" s="26"/>
    </row>
    <row r="1258" spans="1:19" hidden="1" x14ac:dyDescent="0.25">
      <c r="A1258" s="29">
        <v>6398151</v>
      </c>
      <c r="B1258" s="25" t="s">
        <v>619</v>
      </c>
      <c r="C1258" s="26" t="s">
        <v>12</v>
      </c>
      <c r="D1258" s="24" t="s">
        <v>451</v>
      </c>
      <c r="E1258" s="26" t="s">
        <v>563</v>
      </c>
      <c r="F1258" s="26"/>
      <c r="G1258" s="26" t="s">
        <v>525</v>
      </c>
      <c r="H1258" s="26" t="s">
        <v>371</v>
      </c>
      <c r="I1258" s="26" t="s">
        <v>974</v>
      </c>
      <c r="J1258" s="26" t="s">
        <v>19</v>
      </c>
      <c r="K1258" s="26" t="s">
        <v>19</v>
      </c>
      <c r="L1258" s="26" t="s">
        <v>19</v>
      </c>
      <c r="M1258" s="26" t="s">
        <v>19</v>
      </c>
      <c r="N1258" s="26" t="s">
        <v>18</v>
      </c>
      <c r="O1258" s="26" t="s">
        <v>19</v>
      </c>
      <c r="P1258" s="26">
        <v>99.863332999999997</v>
      </c>
      <c r="Q1258" s="26">
        <v>6.3088889999999997</v>
      </c>
      <c r="R1258" s="26"/>
      <c r="S1258" s="26" t="s">
        <v>41</v>
      </c>
    </row>
    <row r="1259" spans="1:19" hidden="1" x14ac:dyDescent="0.25">
      <c r="A1259" s="29">
        <v>6401000</v>
      </c>
      <c r="B1259" s="25" t="s">
        <v>1751</v>
      </c>
      <c r="C1259" s="26" t="s">
        <v>12</v>
      </c>
      <c r="D1259" s="24" t="s">
        <v>569</v>
      </c>
      <c r="E1259" s="26" t="s">
        <v>569</v>
      </c>
      <c r="F1259" s="26"/>
      <c r="G1259" s="26"/>
      <c r="H1259" s="26"/>
      <c r="I1259" s="26"/>
      <c r="J1259" s="26" t="s">
        <v>19</v>
      </c>
      <c r="K1259" s="26" t="s">
        <v>18</v>
      </c>
      <c r="L1259" s="26" t="s">
        <v>19</v>
      </c>
      <c r="M1259" s="26" t="s">
        <v>19</v>
      </c>
      <c r="N1259" s="26" t="s">
        <v>18</v>
      </c>
      <c r="O1259" s="26" t="s">
        <v>19</v>
      </c>
      <c r="P1259" s="26">
        <v>100.13333299999999</v>
      </c>
      <c r="Q1259" s="26">
        <v>6.4</v>
      </c>
      <c r="R1259" s="26"/>
      <c r="S1259" s="26"/>
    </row>
    <row r="1260" spans="1:19" hidden="1" x14ac:dyDescent="0.25">
      <c r="A1260" s="29">
        <v>6401001</v>
      </c>
      <c r="B1260" s="25" t="s">
        <v>1752</v>
      </c>
      <c r="C1260" s="26" t="s">
        <v>12</v>
      </c>
      <c r="D1260" s="24" t="s">
        <v>569</v>
      </c>
      <c r="E1260" s="26" t="s">
        <v>1745</v>
      </c>
      <c r="F1260" s="26"/>
      <c r="G1260" s="26" t="s">
        <v>1746</v>
      </c>
      <c r="H1260" s="26" t="s">
        <v>717</v>
      </c>
      <c r="I1260" s="26" t="s">
        <v>302</v>
      </c>
      <c r="J1260" s="26" t="s">
        <v>19</v>
      </c>
      <c r="K1260" s="26" t="s">
        <v>19</v>
      </c>
      <c r="L1260" s="26" t="s">
        <v>19</v>
      </c>
      <c r="M1260" s="26" t="s">
        <v>19</v>
      </c>
      <c r="N1260" s="26" t="s">
        <v>18</v>
      </c>
      <c r="O1260" s="26" t="s">
        <v>19</v>
      </c>
      <c r="P1260" s="26">
        <v>100.193056</v>
      </c>
      <c r="Q1260" s="26">
        <v>6.447222</v>
      </c>
      <c r="R1260" s="26" t="s">
        <v>41</v>
      </c>
      <c r="S1260" s="26"/>
    </row>
    <row r="1261" spans="1:19" hidden="1" x14ac:dyDescent="0.25">
      <c r="A1261" s="29">
        <v>6401002</v>
      </c>
      <c r="B1261" s="25" t="s">
        <v>1753</v>
      </c>
      <c r="C1261" s="26" t="s">
        <v>12</v>
      </c>
      <c r="D1261" s="24" t="s">
        <v>569</v>
      </c>
      <c r="E1261" s="26" t="s">
        <v>1745</v>
      </c>
      <c r="F1261" s="26"/>
      <c r="G1261" s="26" t="s">
        <v>1746</v>
      </c>
      <c r="H1261" s="26" t="s">
        <v>979</v>
      </c>
      <c r="I1261" s="26"/>
      <c r="J1261" s="26" t="s">
        <v>18</v>
      </c>
      <c r="K1261" s="26" t="s">
        <v>18</v>
      </c>
      <c r="L1261" s="26" t="s">
        <v>18</v>
      </c>
      <c r="M1261" s="26" t="s">
        <v>19</v>
      </c>
      <c r="N1261" s="26" t="s">
        <v>18</v>
      </c>
      <c r="O1261" s="26" t="s">
        <v>19</v>
      </c>
      <c r="P1261" s="26">
        <v>100.1875</v>
      </c>
      <c r="Q1261" s="26">
        <v>6.4458330000000004</v>
      </c>
      <c r="R1261" s="26" t="s">
        <v>41</v>
      </c>
      <c r="S1261" s="26"/>
    </row>
    <row r="1262" spans="1:19" hidden="1" x14ac:dyDescent="0.25">
      <c r="A1262" s="29">
        <v>6401008</v>
      </c>
      <c r="B1262" s="25" t="s">
        <v>1754</v>
      </c>
      <c r="C1262" s="26" t="s">
        <v>12</v>
      </c>
      <c r="D1262" s="24" t="s">
        <v>569</v>
      </c>
      <c r="E1262" s="26" t="s">
        <v>1745</v>
      </c>
      <c r="F1262" s="26"/>
      <c r="G1262" s="26" t="s">
        <v>1746</v>
      </c>
      <c r="H1262" s="26" t="s">
        <v>80</v>
      </c>
      <c r="I1262" s="26" t="s">
        <v>125</v>
      </c>
      <c r="J1262" s="26" t="s">
        <v>19</v>
      </c>
      <c r="K1262" s="26" t="s">
        <v>19</v>
      </c>
      <c r="L1262" s="26" t="s">
        <v>19</v>
      </c>
      <c r="M1262" s="26" t="s">
        <v>19</v>
      </c>
      <c r="N1262" s="26" t="s">
        <v>18</v>
      </c>
      <c r="O1262" s="26" t="s">
        <v>19</v>
      </c>
      <c r="P1262" s="26">
        <v>100.188889</v>
      </c>
      <c r="Q1262" s="26">
        <v>6.4416669999999998</v>
      </c>
      <c r="R1262" s="26" t="s">
        <v>41</v>
      </c>
      <c r="S1262" s="26"/>
    </row>
    <row r="1263" spans="1:19" hidden="1" x14ac:dyDescent="0.25">
      <c r="A1263" s="29">
        <v>6402006</v>
      </c>
      <c r="B1263" s="25" t="s">
        <v>1755</v>
      </c>
      <c r="C1263" s="26" t="s">
        <v>12</v>
      </c>
      <c r="D1263" s="24" t="s">
        <v>569</v>
      </c>
      <c r="E1263" s="26" t="s">
        <v>1745</v>
      </c>
      <c r="F1263" s="26"/>
      <c r="G1263" s="26" t="s">
        <v>1746</v>
      </c>
      <c r="H1263" s="26" t="s">
        <v>462</v>
      </c>
      <c r="I1263" s="26"/>
      <c r="J1263" s="26" t="s">
        <v>18</v>
      </c>
      <c r="K1263" s="26" t="s">
        <v>18</v>
      </c>
      <c r="L1263" s="26" t="s">
        <v>18</v>
      </c>
      <c r="M1263" s="26" t="s">
        <v>19</v>
      </c>
      <c r="N1263" s="26" t="s">
        <v>18</v>
      </c>
      <c r="O1263" s="26" t="s">
        <v>19</v>
      </c>
      <c r="P1263" s="26">
        <v>100.283333</v>
      </c>
      <c r="Q1263" s="26">
        <v>6.4749999999999996</v>
      </c>
      <c r="R1263" s="26" t="s">
        <v>41</v>
      </c>
      <c r="S1263" s="26"/>
    </row>
    <row r="1264" spans="1:19" hidden="1" x14ac:dyDescent="0.25">
      <c r="A1264" s="29">
        <v>6402007</v>
      </c>
      <c r="B1264" s="25" t="s">
        <v>1756</v>
      </c>
      <c r="C1264" s="26" t="s">
        <v>12</v>
      </c>
      <c r="D1264" s="24" t="s">
        <v>569</v>
      </c>
      <c r="E1264" s="26" t="s">
        <v>1745</v>
      </c>
      <c r="F1264" s="26"/>
      <c r="G1264" s="26" t="s">
        <v>1746</v>
      </c>
      <c r="H1264" s="26" t="s">
        <v>490</v>
      </c>
      <c r="I1264" s="26"/>
      <c r="J1264" s="26" t="s">
        <v>18</v>
      </c>
      <c r="K1264" s="26" t="s">
        <v>18</v>
      </c>
      <c r="L1264" s="26" t="s">
        <v>18</v>
      </c>
      <c r="M1264" s="26" t="s">
        <v>19</v>
      </c>
      <c r="N1264" s="26" t="s">
        <v>18</v>
      </c>
      <c r="O1264" s="26" t="s">
        <v>19</v>
      </c>
      <c r="P1264" s="26">
        <v>100.270833</v>
      </c>
      <c r="Q1264" s="26">
        <v>6.4305560000000002</v>
      </c>
      <c r="R1264" s="26" t="s">
        <v>41</v>
      </c>
      <c r="S1264" s="26"/>
    </row>
    <row r="1265" spans="1:19" hidden="1" x14ac:dyDescent="0.25">
      <c r="A1265" s="29">
        <v>6402008</v>
      </c>
      <c r="B1265" s="25" t="s">
        <v>1757</v>
      </c>
      <c r="C1265" s="26" t="s">
        <v>12</v>
      </c>
      <c r="D1265" s="24" t="s">
        <v>569</v>
      </c>
      <c r="E1265" s="26" t="s">
        <v>1745</v>
      </c>
      <c r="F1265" s="26"/>
      <c r="G1265" s="26" t="s">
        <v>1746</v>
      </c>
      <c r="H1265" s="26" t="s">
        <v>1758</v>
      </c>
      <c r="I1265" s="26"/>
      <c r="J1265" s="26" t="s">
        <v>18</v>
      </c>
      <c r="K1265" s="26" t="s">
        <v>18</v>
      </c>
      <c r="L1265" s="26" t="s">
        <v>18</v>
      </c>
      <c r="M1265" s="26" t="s">
        <v>19</v>
      </c>
      <c r="N1265" s="26" t="s">
        <v>18</v>
      </c>
      <c r="O1265" s="26" t="s">
        <v>19</v>
      </c>
      <c r="P1265" s="26">
        <v>100.24722199999999</v>
      </c>
      <c r="Q1265" s="26">
        <v>6.4749999999999996</v>
      </c>
      <c r="R1265" s="26" t="s">
        <v>41</v>
      </c>
      <c r="S1265" s="26"/>
    </row>
    <row r="1266" spans="1:19" hidden="1" x14ac:dyDescent="0.25">
      <c r="A1266" s="29">
        <v>6402009</v>
      </c>
      <c r="B1266" s="25" t="s">
        <v>1759</v>
      </c>
      <c r="C1266" s="26" t="s">
        <v>12</v>
      </c>
      <c r="D1266" s="24" t="s">
        <v>569</v>
      </c>
      <c r="E1266" s="26" t="s">
        <v>569</v>
      </c>
      <c r="F1266" s="26" t="s">
        <v>1760</v>
      </c>
      <c r="G1266" s="26" t="s">
        <v>1760</v>
      </c>
      <c r="H1266" s="26"/>
      <c r="I1266" s="26"/>
      <c r="J1266" s="26" t="s">
        <v>19</v>
      </c>
      <c r="K1266" s="26" t="s">
        <v>18</v>
      </c>
      <c r="L1266" s="26" t="s">
        <v>19</v>
      </c>
      <c r="M1266" s="26" t="s">
        <v>18</v>
      </c>
      <c r="N1266" s="26" t="s">
        <v>19</v>
      </c>
      <c r="O1266" s="26" t="s">
        <v>19</v>
      </c>
      <c r="P1266" s="26">
        <v>100.296667</v>
      </c>
      <c r="Q1266" s="26">
        <v>6.4525560000000004</v>
      </c>
      <c r="R1266" s="26"/>
      <c r="S1266" s="26"/>
    </row>
    <row r="1267" spans="1:19" hidden="1" x14ac:dyDescent="0.25">
      <c r="A1267" s="29">
        <v>6403001</v>
      </c>
      <c r="B1267" s="25" t="s">
        <v>1761</v>
      </c>
      <c r="C1267" s="26" t="s">
        <v>12</v>
      </c>
      <c r="D1267" s="24" t="s">
        <v>569</v>
      </c>
      <c r="E1267" s="26" t="s">
        <v>1745</v>
      </c>
      <c r="F1267" s="26"/>
      <c r="G1267" s="26" t="s">
        <v>1746</v>
      </c>
      <c r="H1267" s="26" t="s">
        <v>801</v>
      </c>
      <c r="I1267" s="26"/>
      <c r="J1267" s="26" t="s">
        <v>18</v>
      </c>
      <c r="K1267" s="26" t="s">
        <v>18</v>
      </c>
      <c r="L1267" s="26" t="s">
        <v>18</v>
      </c>
      <c r="M1267" s="26" t="s">
        <v>19</v>
      </c>
      <c r="N1267" s="26" t="s">
        <v>18</v>
      </c>
      <c r="O1267" s="26" t="s">
        <v>19</v>
      </c>
      <c r="P1267" s="26">
        <v>100.352778</v>
      </c>
      <c r="Q1267" s="26">
        <v>6.4583329999999997</v>
      </c>
      <c r="R1267" s="26" t="s">
        <v>41</v>
      </c>
      <c r="S1267" s="26"/>
    </row>
    <row r="1268" spans="1:19" hidden="1" x14ac:dyDescent="0.25">
      <c r="A1268" s="29">
        <v>6403025</v>
      </c>
      <c r="B1268" s="25" t="s">
        <v>620</v>
      </c>
      <c r="C1268" s="26" t="s">
        <v>12</v>
      </c>
      <c r="D1268" s="24" t="s">
        <v>451</v>
      </c>
      <c r="E1268" s="26" t="s">
        <v>482</v>
      </c>
      <c r="F1268" s="26"/>
      <c r="G1268" s="26" t="s">
        <v>525</v>
      </c>
      <c r="H1268" s="26" t="s">
        <v>410</v>
      </c>
      <c r="I1268" s="26" t="s">
        <v>973</v>
      </c>
      <c r="J1268" s="26" t="s">
        <v>19</v>
      </c>
      <c r="K1268" s="26" t="s">
        <v>19</v>
      </c>
      <c r="L1268" s="26" t="s">
        <v>18</v>
      </c>
      <c r="M1268" s="26" t="s">
        <v>19</v>
      </c>
      <c r="N1268" s="26" t="s">
        <v>19</v>
      </c>
      <c r="O1268" s="26" t="s">
        <v>19</v>
      </c>
      <c r="P1268" s="26">
        <v>100.3875</v>
      </c>
      <c r="Q1268" s="26">
        <v>6.4152779999999998</v>
      </c>
      <c r="R1268" s="26"/>
      <c r="S1268" s="26" t="s">
        <v>41</v>
      </c>
    </row>
    <row r="1269" spans="1:19" hidden="1" x14ac:dyDescent="0.25">
      <c r="A1269" s="29">
        <v>6404001</v>
      </c>
      <c r="B1269" s="25" t="s">
        <v>621</v>
      </c>
      <c r="C1269" s="26" t="s">
        <v>12</v>
      </c>
      <c r="D1269" s="24" t="s">
        <v>451</v>
      </c>
      <c r="E1269" s="26" t="s">
        <v>528</v>
      </c>
      <c r="F1269" s="26"/>
      <c r="G1269" s="26" t="s">
        <v>525</v>
      </c>
      <c r="H1269" s="26" t="s">
        <v>143</v>
      </c>
      <c r="I1269" s="26"/>
      <c r="J1269" s="26" t="s">
        <v>18</v>
      </c>
      <c r="K1269" s="26" t="s">
        <v>18</v>
      </c>
      <c r="L1269" s="26" t="s">
        <v>18</v>
      </c>
      <c r="M1269" s="26" t="s">
        <v>19</v>
      </c>
      <c r="N1269" s="26" t="s">
        <v>18</v>
      </c>
      <c r="O1269" s="26" t="s">
        <v>19</v>
      </c>
      <c r="P1269" s="26">
        <v>100.42916700000001</v>
      </c>
      <c r="Q1269" s="26">
        <v>6.4166670000000003</v>
      </c>
      <c r="R1269" s="26"/>
      <c r="S1269" s="26" t="s">
        <v>41</v>
      </c>
    </row>
    <row r="1270" spans="1:19" hidden="1" x14ac:dyDescent="0.25">
      <c r="A1270" s="29">
        <v>6404010</v>
      </c>
      <c r="B1270" s="25" t="s">
        <v>622</v>
      </c>
      <c r="C1270" s="26" t="s">
        <v>12</v>
      </c>
      <c r="D1270" s="24" t="s">
        <v>451</v>
      </c>
      <c r="E1270" s="26" t="s">
        <v>528</v>
      </c>
      <c r="F1270" s="26" t="s">
        <v>623</v>
      </c>
      <c r="G1270" s="26" t="s">
        <v>597</v>
      </c>
      <c r="H1270" s="26"/>
      <c r="I1270" s="26"/>
      <c r="J1270" s="26" t="s">
        <v>19</v>
      </c>
      <c r="K1270" s="26" t="s">
        <v>18</v>
      </c>
      <c r="L1270" s="26" t="s">
        <v>19</v>
      </c>
      <c r="M1270" s="26" t="s">
        <v>18</v>
      </c>
      <c r="N1270" s="26" t="s">
        <v>19</v>
      </c>
      <c r="O1270" s="26" t="s">
        <v>19</v>
      </c>
      <c r="P1270" s="26">
        <v>100.420917</v>
      </c>
      <c r="Q1270" s="26">
        <v>6.4321109999999999</v>
      </c>
      <c r="R1270" s="26"/>
      <c r="S1270" s="26"/>
    </row>
    <row r="1271" spans="1:19" hidden="1" x14ac:dyDescent="0.25">
      <c r="A1271" s="29">
        <v>6405024</v>
      </c>
      <c r="B1271" s="25" t="s">
        <v>624</v>
      </c>
      <c r="C1271" s="26" t="s">
        <v>12</v>
      </c>
      <c r="D1271" s="24" t="s">
        <v>451</v>
      </c>
      <c r="E1271" s="26" t="s">
        <v>528</v>
      </c>
      <c r="F1271" s="26" t="s">
        <v>625</v>
      </c>
      <c r="G1271" s="26" t="s">
        <v>597</v>
      </c>
      <c r="H1271" s="26"/>
      <c r="I1271" s="26"/>
      <c r="J1271" s="26" t="s">
        <v>19</v>
      </c>
      <c r="K1271" s="26" t="s">
        <v>18</v>
      </c>
      <c r="L1271" s="26" t="s">
        <v>19</v>
      </c>
      <c r="M1271" s="26" t="s">
        <v>18</v>
      </c>
      <c r="N1271" s="26" t="s">
        <v>19</v>
      </c>
      <c r="O1271" s="26" t="s">
        <v>19</v>
      </c>
      <c r="P1271" s="26">
        <v>100.50324999999999</v>
      </c>
      <c r="Q1271" s="26">
        <v>6.4720560000000003</v>
      </c>
      <c r="R1271" s="26"/>
      <c r="S1271" s="26"/>
    </row>
    <row r="1272" spans="1:19" hidden="1" x14ac:dyDescent="0.25">
      <c r="A1272" s="29">
        <v>6501004</v>
      </c>
      <c r="B1272" s="25" t="s">
        <v>1762</v>
      </c>
      <c r="C1272" s="26" t="s">
        <v>12</v>
      </c>
      <c r="D1272" s="24" t="s">
        <v>569</v>
      </c>
      <c r="E1272" s="26" t="s">
        <v>1745</v>
      </c>
      <c r="F1272" s="26"/>
      <c r="G1272" s="26" t="s">
        <v>1746</v>
      </c>
      <c r="H1272" s="26" t="s">
        <v>468</v>
      </c>
      <c r="I1272" s="26" t="s">
        <v>1763</v>
      </c>
      <c r="J1272" s="26" t="s">
        <v>19</v>
      </c>
      <c r="K1272" s="26" t="s">
        <v>19</v>
      </c>
      <c r="L1272" s="26" t="s">
        <v>18</v>
      </c>
      <c r="M1272" s="26" t="s">
        <v>19</v>
      </c>
      <c r="N1272" s="26" t="s">
        <v>19</v>
      </c>
      <c r="O1272" s="26" t="s">
        <v>19</v>
      </c>
      <c r="P1272" s="26">
        <v>100.16805600000001</v>
      </c>
      <c r="Q1272" s="26">
        <v>6.5486110000000002</v>
      </c>
      <c r="R1272" s="26" t="s">
        <v>41</v>
      </c>
      <c r="S1272" s="26"/>
    </row>
    <row r="1273" spans="1:19" hidden="1" x14ac:dyDescent="0.25">
      <c r="A1273" s="29">
        <v>6501005</v>
      </c>
      <c r="B1273" s="25" t="s">
        <v>1764</v>
      </c>
      <c r="C1273" s="26" t="s">
        <v>12</v>
      </c>
      <c r="D1273" s="24" t="s">
        <v>569</v>
      </c>
      <c r="E1273" s="26" t="s">
        <v>1745</v>
      </c>
      <c r="F1273" s="26"/>
      <c r="G1273" s="26" t="s">
        <v>1746</v>
      </c>
      <c r="H1273" s="26" t="s">
        <v>365</v>
      </c>
      <c r="I1273" s="26"/>
      <c r="J1273" s="26" t="s">
        <v>18</v>
      </c>
      <c r="K1273" s="26" t="s">
        <v>18</v>
      </c>
      <c r="L1273" s="26" t="s">
        <v>18</v>
      </c>
      <c r="M1273" s="26" t="s">
        <v>19</v>
      </c>
      <c r="N1273" s="26" t="s">
        <v>18</v>
      </c>
      <c r="O1273" s="26" t="s">
        <v>19</v>
      </c>
      <c r="P1273" s="26">
        <v>100.181944</v>
      </c>
      <c r="Q1273" s="26">
        <v>6.5055560000000003</v>
      </c>
      <c r="R1273" s="26" t="s">
        <v>41</v>
      </c>
      <c r="S1273" s="26"/>
    </row>
    <row r="1274" spans="1:19" hidden="1" x14ac:dyDescent="0.25">
      <c r="A1274" s="29">
        <v>6502001</v>
      </c>
      <c r="B1274" s="25" t="s">
        <v>1765</v>
      </c>
      <c r="C1274" s="26" t="s">
        <v>12</v>
      </c>
      <c r="D1274" s="24" t="s">
        <v>569</v>
      </c>
      <c r="E1274" s="26" t="s">
        <v>1745</v>
      </c>
      <c r="F1274" s="26"/>
      <c r="G1274" s="26" t="s">
        <v>1746</v>
      </c>
      <c r="H1274" s="26" t="s">
        <v>801</v>
      </c>
      <c r="I1274" s="26" t="s">
        <v>1766</v>
      </c>
      <c r="J1274" s="26" t="s">
        <v>19</v>
      </c>
      <c r="K1274" s="26" t="s">
        <v>19</v>
      </c>
      <c r="L1274" s="26" t="s">
        <v>18</v>
      </c>
      <c r="M1274" s="26" t="s">
        <v>19</v>
      </c>
      <c r="N1274" s="26" t="s">
        <v>19</v>
      </c>
      <c r="O1274" s="26" t="s">
        <v>19</v>
      </c>
      <c r="P1274" s="26">
        <v>100.294444</v>
      </c>
      <c r="Q1274" s="26">
        <v>6.5805559999999996</v>
      </c>
      <c r="R1274" s="26" t="s">
        <v>20</v>
      </c>
      <c r="S1274" s="26"/>
    </row>
    <row r="1275" spans="1:19" hidden="1" x14ac:dyDescent="0.25">
      <c r="A1275" s="29">
        <v>6502003</v>
      </c>
      <c r="B1275" s="25" t="s">
        <v>1767</v>
      </c>
      <c r="C1275" s="26" t="s">
        <v>12</v>
      </c>
      <c r="D1275" s="24" t="s">
        <v>569</v>
      </c>
      <c r="E1275" s="26" t="s">
        <v>569</v>
      </c>
      <c r="F1275" s="26"/>
      <c r="G1275" s="26"/>
      <c r="H1275" s="26"/>
      <c r="I1275" s="26"/>
      <c r="J1275" s="26" t="s">
        <v>19</v>
      </c>
      <c r="K1275" s="26" t="s">
        <v>19</v>
      </c>
      <c r="L1275" s="26" t="s">
        <v>18</v>
      </c>
      <c r="M1275" s="26" t="s">
        <v>19</v>
      </c>
      <c r="N1275" s="26" t="s">
        <v>19</v>
      </c>
      <c r="O1275" s="26" t="s">
        <v>19</v>
      </c>
      <c r="P1275" s="26">
        <v>100.222222</v>
      </c>
      <c r="Q1275" s="26">
        <v>6.5916670000000002</v>
      </c>
      <c r="R1275" s="26"/>
      <c r="S1275" s="26"/>
    </row>
    <row r="1276" spans="1:19" hidden="1" x14ac:dyDescent="0.25">
      <c r="A1276" s="29">
        <v>6502010</v>
      </c>
      <c r="B1276" s="25" t="s">
        <v>1768</v>
      </c>
      <c r="C1276" s="26" t="s">
        <v>12</v>
      </c>
      <c r="D1276" s="24" t="s">
        <v>569</v>
      </c>
      <c r="E1276" s="26" t="s">
        <v>1745</v>
      </c>
      <c r="F1276" s="26"/>
      <c r="G1276" s="26" t="s">
        <v>1746</v>
      </c>
      <c r="H1276" s="26" t="s">
        <v>420</v>
      </c>
      <c r="I1276" s="26"/>
      <c r="J1276" s="26" t="s">
        <v>18</v>
      </c>
      <c r="K1276" s="26" t="s">
        <v>18</v>
      </c>
      <c r="L1276" s="26" t="s">
        <v>18</v>
      </c>
      <c r="M1276" s="26" t="s">
        <v>18</v>
      </c>
      <c r="N1276" s="26" t="s">
        <v>18</v>
      </c>
      <c r="O1276" s="26" t="s">
        <v>19</v>
      </c>
      <c r="P1276" s="26">
        <v>100.231944</v>
      </c>
      <c r="Q1276" s="26">
        <v>6.5388890000000002</v>
      </c>
      <c r="R1276" s="26" t="s">
        <v>41</v>
      </c>
      <c r="S1276" s="26"/>
    </row>
    <row r="1277" spans="1:19" hidden="1" x14ac:dyDescent="0.25">
      <c r="A1277" s="29">
        <v>6502011</v>
      </c>
      <c r="B1277" s="25" t="s">
        <v>1769</v>
      </c>
      <c r="C1277" s="26" t="s">
        <v>12</v>
      </c>
      <c r="D1277" s="24" t="s">
        <v>569</v>
      </c>
      <c r="E1277" s="26" t="s">
        <v>569</v>
      </c>
      <c r="F1277" s="26" t="s">
        <v>1770</v>
      </c>
      <c r="G1277" s="26" t="s">
        <v>1770</v>
      </c>
      <c r="H1277" s="26"/>
      <c r="I1277" s="26"/>
      <c r="J1277" s="26" t="s">
        <v>19</v>
      </c>
      <c r="K1277" s="26" t="s">
        <v>18</v>
      </c>
      <c r="L1277" s="26" t="s">
        <v>19</v>
      </c>
      <c r="M1277" s="26" t="s">
        <v>18</v>
      </c>
      <c r="N1277" s="26" t="s">
        <v>19</v>
      </c>
      <c r="O1277" s="26" t="s">
        <v>19</v>
      </c>
      <c r="P1277" s="26">
        <v>100.245833</v>
      </c>
      <c r="Q1277" s="26">
        <v>6.5708330000000004</v>
      </c>
      <c r="R1277" s="26"/>
      <c r="S1277" s="26"/>
    </row>
    <row r="1278" spans="1:19" hidden="1" x14ac:dyDescent="0.25">
      <c r="A1278" s="29">
        <v>6503001</v>
      </c>
      <c r="B1278" s="25" t="s">
        <v>1771</v>
      </c>
      <c r="C1278" s="26" t="s">
        <v>12</v>
      </c>
      <c r="D1278" s="24" t="s">
        <v>569</v>
      </c>
      <c r="E1278" s="26" t="s">
        <v>1745</v>
      </c>
      <c r="F1278" s="26"/>
      <c r="G1278" s="26" t="s">
        <v>1746</v>
      </c>
      <c r="H1278" s="26" t="s">
        <v>801</v>
      </c>
      <c r="I1278" s="26"/>
      <c r="J1278" s="26" t="s">
        <v>18</v>
      </c>
      <c r="K1278" s="26" t="s">
        <v>18</v>
      </c>
      <c r="L1278" s="26" t="s">
        <v>18</v>
      </c>
      <c r="M1278" s="26" t="s">
        <v>19</v>
      </c>
      <c r="N1278" s="26" t="s">
        <v>18</v>
      </c>
      <c r="O1278" s="26" t="s">
        <v>19</v>
      </c>
      <c r="P1278" s="26">
        <v>100.33750000000001</v>
      </c>
      <c r="Q1278" s="26">
        <v>6.536111</v>
      </c>
      <c r="R1278" s="26" t="s">
        <v>41</v>
      </c>
      <c r="S1278" s="26"/>
    </row>
    <row r="1279" spans="1:19" hidden="1" x14ac:dyDescent="0.25">
      <c r="A1279" s="29">
        <v>6601001</v>
      </c>
      <c r="B1279" s="25" t="s">
        <v>1772</v>
      </c>
      <c r="C1279" s="26" t="s">
        <v>12</v>
      </c>
      <c r="D1279" s="24" t="s">
        <v>569</v>
      </c>
      <c r="E1279" s="26" t="s">
        <v>1745</v>
      </c>
      <c r="F1279" s="26"/>
      <c r="G1279" s="26" t="s">
        <v>615</v>
      </c>
      <c r="H1279" s="26"/>
      <c r="I1279" s="26"/>
      <c r="J1279" s="26" t="s">
        <v>18</v>
      </c>
      <c r="K1279" s="26" t="s">
        <v>18</v>
      </c>
      <c r="L1279" s="26" t="s">
        <v>18</v>
      </c>
      <c r="M1279" s="26" t="s">
        <v>19</v>
      </c>
      <c r="N1279" s="26" t="s">
        <v>18</v>
      </c>
      <c r="O1279" s="26" t="s">
        <v>19</v>
      </c>
      <c r="P1279" s="26">
        <v>100.186944</v>
      </c>
      <c r="Q1279" s="26">
        <v>6.6711109999999998</v>
      </c>
      <c r="R1279" s="26"/>
      <c r="S1279" s="26"/>
    </row>
    <row r="1280" spans="1:19" hidden="1" x14ac:dyDescent="0.25">
      <c r="A1280" s="29">
        <v>6602002</v>
      </c>
      <c r="B1280" s="25" t="s">
        <v>1773</v>
      </c>
      <c r="C1280" s="26" t="s">
        <v>12</v>
      </c>
      <c r="D1280" s="24" t="s">
        <v>569</v>
      </c>
      <c r="E1280" s="26" t="s">
        <v>1745</v>
      </c>
      <c r="F1280" s="26" t="s">
        <v>1774</v>
      </c>
      <c r="G1280" s="26" t="s">
        <v>1746</v>
      </c>
      <c r="H1280" s="26" t="s">
        <v>468</v>
      </c>
      <c r="I1280" s="26"/>
      <c r="J1280" s="26" t="s">
        <v>18</v>
      </c>
      <c r="K1280" s="26" t="s">
        <v>18</v>
      </c>
      <c r="L1280" s="26" t="s">
        <v>18</v>
      </c>
      <c r="M1280" s="26" t="s">
        <v>19</v>
      </c>
      <c r="N1280" s="26" t="s">
        <v>18</v>
      </c>
      <c r="O1280" s="26" t="s">
        <v>19</v>
      </c>
      <c r="P1280" s="26">
        <v>100.21250000000001</v>
      </c>
      <c r="Q1280" s="26">
        <v>6.644444</v>
      </c>
      <c r="R1280" s="26" t="s">
        <v>41</v>
      </c>
      <c r="S1280" s="26"/>
    </row>
    <row r="1281" spans="1:19" hidden="1" x14ac:dyDescent="0.25">
      <c r="A1281" s="29">
        <v>6602002</v>
      </c>
      <c r="B1281" s="25" t="s">
        <v>1775</v>
      </c>
      <c r="C1281" s="26" t="s">
        <v>12</v>
      </c>
      <c r="D1281" s="24" t="s">
        <v>569</v>
      </c>
      <c r="E1281" s="26" t="s">
        <v>569</v>
      </c>
      <c r="F1281" s="26" t="s">
        <v>1774</v>
      </c>
      <c r="G1281" s="26" t="s">
        <v>1774</v>
      </c>
      <c r="H1281" s="26"/>
      <c r="I1281" s="26"/>
      <c r="J1281" s="26" t="s">
        <v>19</v>
      </c>
      <c r="K1281" s="26" t="s">
        <v>18</v>
      </c>
      <c r="L1281" s="26" t="s">
        <v>19</v>
      </c>
      <c r="M1281" s="26" t="s">
        <v>18</v>
      </c>
      <c r="N1281" s="26" t="s">
        <v>19</v>
      </c>
      <c r="O1281" s="26" t="s">
        <v>19</v>
      </c>
      <c r="P1281" s="26">
        <v>100.21250000000001</v>
      </c>
      <c r="Q1281" s="26">
        <v>6.644444</v>
      </c>
      <c r="R1281" s="26"/>
      <c r="S1281" s="26"/>
    </row>
    <row r="1282" spans="1:19" hidden="1" x14ac:dyDescent="0.25">
      <c r="A1282" s="29">
        <v>6602003</v>
      </c>
      <c r="B1282" s="25" t="s">
        <v>1767</v>
      </c>
      <c r="C1282" s="26" t="s">
        <v>12</v>
      </c>
      <c r="D1282" s="24" t="s">
        <v>569</v>
      </c>
      <c r="E1282" s="26" t="s">
        <v>1745</v>
      </c>
      <c r="F1282" s="26"/>
      <c r="G1282" s="26" t="s">
        <v>1746</v>
      </c>
      <c r="H1282" s="26" t="s">
        <v>462</v>
      </c>
      <c r="I1282" s="26"/>
      <c r="J1282" s="26" t="s">
        <v>18</v>
      </c>
      <c r="K1282" s="26" t="s">
        <v>18</v>
      </c>
      <c r="L1282" s="26" t="s">
        <v>18</v>
      </c>
      <c r="M1282" s="26" t="s">
        <v>19</v>
      </c>
      <c r="N1282" s="26" t="s">
        <v>18</v>
      </c>
      <c r="O1282" s="26" t="s">
        <v>19</v>
      </c>
      <c r="P1282" s="26">
        <v>100.233611</v>
      </c>
      <c r="Q1282" s="26">
        <v>6.6183329999999998</v>
      </c>
      <c r="R1282" s="26" t="s">
        <v>41</v>
      </c>
      <c r="S1282" s="26"/>
    </row>
    <row r="1283" spans="1:19" hidden="1" x14ac:dyDescent="0.25">
      <c r="A1283" s="29">
        <v>6602004</v>
      </c>
      <c r="B1283" s="25" t="s">
        <v>1776</v>
      </c>
      <c r="C1283" s="26" t="s">
        <v>12</v>
      </c>
      <c r="D1283" s="24" t="s">
        <v>569</v>
      </c>
      <c r="E1283" s="26" t="s">
        <v>569</v>
      </c>
      <c r="F1283" s="26" t="s">
        <v>1777</v>
      </c>
      <c r="G1283" s="26" t="s">
        <v>1777</v>
      </c>
      <c r="H1283" s="26"/>
      <c r="I1283" s="26"/>
      <c r="J1283" s="26" t="s">
        <v>19</v>
      </c>
      <c r="K1283" s="26" t="s">
        <v>18</v>
      </c>
      <c r="L1283" s="26" t="s">
        <v>19</v>
      </c>
      <c r="M1283" s="26" t="s">
        <v>18</v>
      </c>
      <c r="N1283" s="26" t="s">
        <v>19</v>
      </c>
      <c r="O1283" s="26" t="s">
        <v>19</v>
      </c>
      <c r="P1283" s="26">
        <v>100.229167</v>
      </c>
      <c r="Q1283" s="26">
        <v>6.5435829999999999</v>
      </c>
      <c r="R1283" s="26"/>
      <c r="S1283" s="26"/>
    </row>
    <row r="1284" spans="1:19" hidden="1" x14ac:dyDescent="0.25">
      <c r="A1284" s="29">
        <v>6602005</v>
      </c>
      <c r="B1284" s="25" t="s">
        <v>1778</v>
      </c>
      <c r="C1284" s="26" t="s">
        <v>12</v>
      </c>
      <c r="D1284" s="24" t="s">
        <v>569</v>
      </c>
      <c r="E1284" s="26" t="s">
        <v>1745</v>
      </c>
      <c r="F1284" s="26"/>
      <c r="G1284" s="26" t="s">
        <v>615</v>
      </c>
      <c r="H1284" s="26"/>
      <c r="I1284" s="26"/>
      <c r="J1284" s="26" t="s">
        <v>18</v>
      </c>
      <c r="K1284" s="26" t="s">
        <v>18</v>
      </c>
      <c r="L1284" s="26" t="s">
        <v>18</v>
      </c>
      <c r="M1284" s="26" t="s">
        <v>19</v>
      </c>
      <c r="N1284" s="26" t="s">
        <v>18</v>
      </c>
      <c r="O1284" s="26" t="s">
        <v>19</v>
      </c>
      <c r="P1284" s="26">
        <v>100.22416699999999</v>
      </c>
      <c r="Q1284" s="26">
        <v>6.6497219999999997</v>
      </c>
      <c r="R1284" s="26"/>
      <c r="S1284" s="26"/>
    </row>
    <row r="1285" spans="1:19" hidden="1" x14ac:dyDescent="0.25">
      <c r="A1285" s="29">
        <v>6603001</v>
      </c>
      <c r="B1285" s="25" t="s">
        <v>1779</v>
      </c>
      <c r="C1285" s="26" t="s">
        <v>12</v>
      </c>
      <c r="D1285" s="24" t="s">
        <v>569</v>
      </c>
      <c r="E1285" s="26" t="s">
        <v>1745</v>
      </c>
      <c r="F1285" s="26"/>
      <c r="G1285" s="26" t="s">
        <v>1746</v>
      </c>
      <c r="H1285" s="26" t="s">
        <v>242</v>
      </c>
      <c r="I1285" s="26" t="s">
        <v>302</v>
      </c>
      <c r="J1285" s="26" t="s">
        <v>19</v>
      </c>
      <c r="K1285" s="26" t="s">
        <v>19</v>
      </c>
      <c r="L1285" s="26" t="s">
        <v>19</v>
      </c>
      <c r="M1285" s="26" t="s">
        <v>19</v>
      </c>
      <c r="N1285" s="26" t="s">
        <v>18</v>
      </c>
      <c r="O1285" s="26" t="s">
        <v>19</v>
      </c>
      <c r="P1285" s="26">
        <v>100.325</v>
      </c>
      <c r="Q1285" s="26">
        <v>6.6652779999999998</v>
      </c>
      <c r="R1285" s="26" t="s">
        <v>41</v>
      </c>
      <c r="S1285" s="26"/>
    </row>
    <row r="1286" spans="1:19" hidden="1" x14ac:dyDescent="0.25">
      <c r="A1286" s="29">
        <v>6603002</v>
      </c>
      <c r="B1286" s="25" t="s">
        <v>1780</v>
      </c>
      <c r="C1286" s="26" t="s">
        <v>12</v>
      </c>
      <c r="D1286" s="24" t="s">
        <v>569</v>
      </c>
      <c r="E1286" s="26" t="s">
        <v>1745</v>
      </c>
      <c r="F1286" s="26"/>
      <c r="G1286" s="26" t="s">
        <v>1746</v>
      </c>
      <c r="H1286" s="26" t="s">
        <v>979</v>
      </c>
      <c r="I1286" s="26"/>
      <c r="J1286" s="26" t="s">
        <v>18</v>
      </c>
      <c r="K1286" s="26" t="s">
        <v>18</v>
      </c>
      <c r="L1286" s="26" t="s">
        <v>18</v>
      </c>
      <c r="M1286" s="26" t="s">
        <v>19</v>
      </c>
      <c r="N1286" s="26" t="s">
        <v>18</v>
      </c>
      <c r="O1286" s="26" t="s">
        <v>19</v>
      </c>
      <c r="P1286" s="26">
        <v>100.30972199999999</v>
      </c>
      <c r="Q1286" s="26">
        <v>6.6569440000000002</v>
      </c>
      <c r="R1286" s="26" t="s">
        <v>41</v>
      </c>
      <c r="S1286" s="26"/>
    </row>
  </sheetData>
  <autoFilter ref="D1:E1286">
    <filterColumn colId="0">
      <filters>
        <filter val="Perak"/>
      </filters>
    </filterColumn>
  </autoFilter>
  <sortState ref="A2:S1286">
    <sortCondition ref="A1"/>
  </sortState>
  <pageMargins left="0.70866141732283472" right="0.70866141732283472" top="0.74803149606299213" bottom="0.74803149606299213" header="0.31496062992125984" footer="0.31496062992125984"/>
  <pageSetup paperSize="8" scale="73" fitToHeight="0" orientation="landscape" r:id="rId1"/>
  <headerFooter scaleWithDoc="0">
    <oddHeader>&amp;L&amp;Z&amp;F&amp;R&amp;D</oddHeader>
    <oddFooter>Page &amp;P of &amp;N</oddFooter>
  </headerFooter>
  <rowBreaks count="1" manualBreakCount="1">
    <brk id="413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B30"/>
  <sheetViews>
    <sheetView tabSelected="1" workbookViewId="0">
      <selection activeCell="B30" sqref="B30"/>
    </sheetView>
  </sheetViews>
  <sheetFormatPr defaultRowHeight="15" x14ac:dyDescent="0.25"/>
  <cols>
    <col min="1" max="1" width="9.140625" style="32"/>
    <col min="2" max="2" width="32.28515625" bestFit="1" customWidth="1"/>
  </cols>
  <sheetData>
    <row r="1" spans="1:2" x14ac:dyDescent="0.25">
      <c r="A1" s="32" t="s">
        <v>626</v>
      </c>
      <c r="B1" t="s">
        <v>627</v>
      </c>
    </row>
    <row r="2" spans="1:2" x14ac:dyDescent="0.25">
      <c r="A2" s="33">
        <v>3615003</v>
      </c>
      <c r="B2" s="32" t="s">
        <v>632</v>
      </c>
    </row>
    <row r="3" spans="1:2" x14ac:dyDescent="0.25">
      <c r="A3" s="33">
        <v>3615151</v>
      </c>
      <c r="B3" s="32" t="s">
        <v>636</v>
      </c>
    </row>
    <row r="4" spans="1:2" x14ac:dyDescent="0.25">
      <c r="A4" s="33">
        <v>3711160</v>
      </c>
      <c r="B4" s="32" t="s">
        <v>639</v>
      </c>
    </row>
    <row r="5" spans="1:2" x14ac:dyDescent="0.25">
      <c r="A5" s="33">
        <v>3714152</v>
      </c>
      <c r="B5" s="32" t="s">
        <v>641</v>
      </c>
    </row>
    <row r="6" spans="1:2" x14ac:dyDescent="0.25">
      <c r="A6" s="33">
        <v>3714153</v>
      </c>
      <c r="B6" s="32" t="s">
        <v>643</v>
      </c>
    </row>
    <row r="7" spans="1:2" x14ac:dyDescent="0.25">
      <c r="A7" s="33">
        <v>3808163</v>
      </c>
      <c r="B7" s="32" t="s">
        <v>646</v>
      </c>
    </row>
    <row r="8" spans="1:2" x14ac:dyDescent="0.25">
      <c r="A8" s="33">
        <v>3813158</v>
      </c>
      <c r="B8" s="32" t="s">
        <v>649</v>
      </c>
    </row>
    <row r="9" spans="1:2" x14ac:dyDescent="0.25">
      <c r="A9" s="33">
        <v>3814156</v>
      </c>
      <c r="B9" s="32" t="s">
        <v>651</v>
      </c>
    </row>
    <row r="10" spans="1:2" x14ac:dyDescent="0.25">
      <c r="A10" s="33">
        <v>3814157</v>
      </c>
      <c r="B10" s="32" t="s">
        <v>653</v>
      </c>
    </row>
    <row r="11" spans="1:2" x14ac:dyDescent="0.25">
      <c r="A11" s="33">
        <v>3814158</v>
      </c>
      <c r="B11" s="32" t="s">
        <v>656</v>
      </c>
    </row>
    <row r="12" spans="1:2" x14ac:dyDescent="0.25">
      <c r="A12" s="33">
        <v>3814159</v>
      </c>
      <c r="B12" s="32" t="s">
        <v>652</v>
      </c>
    </row>
    <row r="13" spans="1:2" x14ac:dyDescent="0.25">
      <c r="A13" s="33">
        <v>3814160</v>
      </c>
      <c r="B13" s="32" t="s">
        <v>659</v>
      </c>
    </row>
    <row r="14" spans="1:2" x14ac:dyDescent="0.25">
      <c r="A14" s="33">
        <v>3901001</v>
      </c>
      <c r="B14" s="32" t="s">
        <v>660</v>
      </c>
    </row>
    <row r="15" spans="1:2" x14ac:dyDescent="0.25">
      <c r="A15" s="33">
        <v>3907103</v>
      </c>
      <c r="B15" s="32" t="s">
        <v>661</v>
      </c>
    </row>
    <row r="16" spans="1:2" x14ac:dyDescent="0.25">
      <c r="A16" s="33">
        <v>3907104</v>
      </c>
      <c r="B16" s="32" t="s">
        <v>663</v>
      </c>
    </row>
    <row r="17" spans="1:2" x14ac:dyDescent="0.25">
      <c r="A17" s="33">
        <v>3908101</v>
      </c>
      <c r="B17" s="32" t="s">
        <v>665</v>
      </c>
    </row>
    <row r="18" spans="1:2" x14ac:dyDescent="0.25">
      <c r="A18" s="33">
        <v>3909100</v>
      </c>
      <c r="B18" s="32" t="s">
        <v>667</v>
      </c>
    </row>
    <row r="19" spans="1:2" x14ac:dyDescent="0.25">
      <c r="A19" s="33">
        <v>3909104</v>
      </c>
      <c r="B19" s="32" t="s">
        <v>668</v>
      </c>
    </row>
    <row r="20" spans="1:2" x14ac:dyDescent="0.25">
      <c r="A20" s="33">
        <v>3910099</v>
      </c>
      <c r="B20" s="32" t="s">
        <v>670</v>
      </c>
    </row>
    <row r="21" spans="1:2" x14ac:dyDescent="0.25">
      <c r="A21" s="33">
        <v>3911149</v>
      </c>
      <c r="B21" s="32" t="s">
        <v>672</v>
      </c>
    </row>
    <row r="22" spans="1:2" x14ac:dyDescent="0.25">
      <c r="A22" s="33">
        <v>3913145</v>
      </c>
      <c r="B22" s="32" t="s">
        <v>674</v>
      </c>
    </row>
    <row r="23" spans="1:2" x14ac:dyDescent="0.25">
      <c r="A23" s="33">
        <v>3913146</v>
      </c>
      <c r="B23" s="32" t="s">
        <v>677</v>
      </c>
    </row>
    <row r="24" spans="1:2" x14ac:dyDescent="0.25">
      <c r="A24" s="33">
        <v>3913147</v>
      </c>
      <c r="B24" s="32" t="s">
        <v>679</v>
      </c>
    </row>
    <row r="25" spans="1:2" x14ac:dyDescent="0.25">
      <c r="A25" s="33">
        <v>4008102</v>
      </c>
      <c r="B25" s="32" t="s">
        <v>680</v>
      </c>
    </row>
    <row r="26" spans="1:2" x14ac:dyDescent="0.25">
      <c r="A26" s="33">
        <v>4009096</v>
      </c>
      <c r="B26" s="32" t="s">
        <v>683</v>
      </c>
    </row>
    <row r="27" spans="1:2" x14ac:dyDescent="0.25">
      <c r="A27" s="33">
        <v>4010001</v>
      </c>
      <c r="B27" s="32" t="s">
        <v>687</v>
      </c>
    </row>
    <row r="28" spans="1:2" x14ac:dyDescent="0.25">
      <c r="A28" s="33">
        <v>4010097</v>
      </c>
      <c r="B28" s="32" t="s">
        <v>689</v>
      </c>
    </row>
    <row r="29" spans="1:2" x14ac:dyDescent="0.25">
      <c r="A29" s="33">
        <v>4010098</v>
      </c>
      <c r="B29" s="32" t="s">
        <v>690</v>
      </c>
    </row>
    <row r="30" spans="1:2" x14ac:dyDescent="0.25">
      <c r="A30" s="33">
        <v>4010138</v>
      </c>
      <c r="B30" s="32" t="s">
        <v>692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Instruction</vt:lpstr>
      <vt:lpstr>movmax</vt:lpstr>
      <vt:lpstr>movmax_stn</vt:lpstr>
      <vt:lpstr>movmax_period</vt:lpstr>
      <vt:lpstr>exportCSV</vt:lpstr>
      <vt:lpstr>exportcalendar</vt:lpstr>
      <vt:lpstr>RAINFALL_PM_ori</vt:lpstr>
      <vt:lpstr>Selected_stns</vt:lpstr>
      <vt:lpstr>Database</vt:lpstr>
      <vt:lpstr>Perak</vt:lpstr>
      <vt:lpstr>RAINFALL_PM_ori!Print_Titles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ycgoh</dc:creator>
  <cp:lastModifiedBy>GYC</cp:lastModifiedBy>
  <cp:lastPrinted>2015-04-15T03:02:10Z</cp:lastPrinted>
  <dcterms:created xsi:type="dcterms:W3CDTF">2014-12-19T08:31:17Z</dcterms:created>
  <dcterms:modified xsi:type="dcterms:W3CDTF">2018-12-20T08:12:17Z</dcterms:modified>
</cp:coreProperties>
</file>